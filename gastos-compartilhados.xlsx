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Membr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Resumo" sheetId="4" state="visible" r:id="rId4"/>
    <sheet xmlns:r="http://schemas.openxmlformats.org/officeDocument/2006/relationships" name="Acertos" sheetId="5" state="visible" r:id="rId5"/>
    <sheet xmlns:r="http://schemas.openxmlformats.org/officeDocument/2006/relationships" name="Categorias" sheetId="6" state="visible" r:id="rId6"/>
  </sheets>
  <definedNames>
    <definedName name="_xlnm._FilterDatabase" localSheetId="2" hidden="1">'Gastos'!$A$1:$P$121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Gastos Orlando · compartilhados + pessoais (tipo Splitwise)</t>
        </is>
      </c>
    </row>
    <row r="2">
      <c r="A2" t="inlineStr"/>
    </row>
    <row r="3">
      <c r="A3" t="inlineStr">
        <is>
          <t>Site: https://eduardohidekiy.github.io/viagem-orlando/</t>
        </is>
      </c>
    </row>
    <row r="4">
      <c r="A4" t="inlineStr">
        <is>
          <t>Membros: Eduardo, Karina, Bruno, Gabriele</t>
        </is>
      </c>
    </row>
    <row r="5">
      <c r="A5" t="inlineStr"/>
    </row>
    <row r="6">
      <c r="A6" s="2" t="inlineStr">
        <is>
          <t>O QUE LANÇAR AQUI</t>
        </is>
      </c>
    </row>
    <row r="7">
      <c r="A7" t="inlineStr">
        <is>
          <t>TUDO que você quiser acompanhar na viagem:</t>
        </is>
      </c>
    </row>
    <row r="8">
      <c r="A8" t="inlineStr">
        <is>
          <t>• Compartilhado — casa, carro, mercado, Uber juntos… (divide e gera saldo entre vocês)</t>
        </is>
      </c>
    </row>
    <row r="9">
      <c r="A9" t="inlineStr">
        <is>
          <t>• Pessoal — seu ingresso, seu e-SIM, sua lembrancinha, seu almoço sozinho… (entra no SEU total da viagem e NÃO gera dívida)</t>
        </is>
      </c>
    </row>
    <row r="10">
      <c r="A10" t="inlineStr"/>
    </row>
    <row r="11">
      <c r="A11" s="2" t="inlineStr">
        <is>
          <t>COMO USAR NO GOOGLE SHEETS</t>
        </is>
      </c>
    </row>
    <row r="12">
      <c r="A12" t="inlineStr">
        <is>
          <t>1. Upload deste arquivo no Drive → Abrir com Planilhas Google → Salvar como Planilhas Google.</t>
        </is>
      </c>
    </row>
    <row r="13">
      <c r="A13" t="inlineStr">
        <is>
          <t>2. Aba Gastos: selecione F2:I121 (Eduardo…Gabriele) → Inserir → Caixa de seleção.</t>
        </is>
      </c>
    </row>
    <row r="14">
      <c r="A14" t="inlineStr">
        <is>
          <t>3. Compartilhar com o grupo (edição).</t>
        </is>
      </c>
    </row>
    <row r="15">
      <c r="A15" t="inlineStr">
        <is>
          <t>4. Cole o link no site (PLANILHA_GASTOS).</t>
        </is>
      </c>
    </row>
    <row r="16">
      <c r="A16" t="inlineStr"/>
    </row>
    <row r="17">
      <c r="A17" s="2" t="inlineStr">
        <is>
          <t>COMO LANÇAR</t>
        </is>
      </c>
    </row>
    <row r="18">
      <c r="A18" t="inlineStr">
        <is>
          <t>1. Data, Descrição, Valor em R$ (sempre a mesma moeda).</t>
        </is>
      </c>
    </row>
    <row r="19">
      <c r="A19" t="inlineStr">
        <is>
          <t>2. Quem pagou = quem tirou do cartão/bolso.</t>
        </is>
      </c>
    </row>
    <row r="20">
      <c r="A20" t="inlineStr">
        <is>
          <t>3. Tipo = Compartilhado ou Pessoal.</t>
        </is>
      </c>
    </row>
    <row r="21">
      <c r="A21" t="inlineStr">
        <is>
          <t>4. Se Compartilhado: marque quem divide (em geral os 4).</t>
        </is>
      </c>
    </row>
    <row r="22">
      <c r="A22" t="inlineStr">
        <is>
          <t>5. Se Pessoal: não precisa marcar caixas — a cota vai 100% para quem pagou.</t>
        </is>
      </c>
    </row>
    <row r="23">
      <c r="A23" t="inlineStr">
        <is>
          <t>6. Veja Resumo: Saldo (quem deve a quem) + Custo da viagem (quanto cada um está gastando no total).</t>
        </is>
      </c>
    </row>
    <row r="24">
      <c r="A24" t="inlineStr"/>
    </row>
    <row r="25">
      <c r="A25" s="2" t="inlineStr">
        <is>
          <t>LEITURA DO RESUMO</t>
        </is>
      </c>
    </row>
    <row r="26">
      <c r="A26" t="inlineStr">
        <is>
          <t>• Total pagou = dinheiro que saiu do bolso/cartão dessa pessoa.</t>
        </is>
      </c>
    </row>
    <row r="27">
      <c r="A27" t="inlineStr">
        <is>
          <t>• Cota comum = parte dela nos gastos compartilhados.</t>
        </is>
      </c>
    </row>
    <row r="28">
      <c r="A28" t="inlineStr">
        <is>
          <t>• Gastos pessoais = o que ela lançou como Pessoal.</t>
        </is>
      </c>
    </row>
    <row r="29">
      <c r="A29" t="inlineStr">
        <is>
          <t>• Custo da viagem = cota comum + gastos pessoais (noção real do quanto a viagem está custando para ela).</t>
        </is>
      </c>
    </row>
    <row r="30">
      <c r="A30" t="inlineStr">
        <is>
          <t>• Saldo = Total pagou − (cota comum + pessoais). Positivo = a receber; negativo = a pagar.</t>
        </is>
      </c>
    </row>
    <row r="31">
      <c r="A31" t="inlineStr">
        <is>
          <t xml:space="preserve">  (Nos pessoais, pagou e cota se anulam — o saldo só muda com compartilhados.)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</cols>
  <sheetData>
    <row r="1">
      <c r="A1" s="3" t="inlineStr">
        <is>
          <t>Nome</t>
        </is>
      </c>
      <c r="B1" s="3" t="inlineStr">
        <is>
          <t>Núcleo</t>
        </is>
      </c>
      <c r="C1" s="3" t="inlineStr">
        <is>
          <t>Ativo</t>
        </is>
      </c>
    </row>
    <row r="2">
      <c r="A2" t="inlineStr">
        <is>
          <t>Eduardo</t>
        </is>
      </c>
      <c r="B2" t="inlineStr">
        <is>
          <t>Família</t>
        </is>
      </c>
      <c r="C2" t="b">
        <v>1</v>
      </c>
    </row>
    <row r="3">
      <c r="A3" t="inlineStr">
        <is>
          <t>Karina</t>
        </is>
      </c>
      <c r="B3" t="inlineStr">
        <is>
          <t>Família</t>
        </is>
      </c>
      <c r="C3" t="b">
        <v>1</v>
      </c>
    </row>
    <row r="4">
      <c r="A4" t="inlineStr">
        <is>
          <t>Bruno</t>
        </is>
      </c>
      <c r="B4" t="inlineStr">
        <is>
          <t>Casal</t>
        </is>
      </c>
      <c r="C4" t="b">
        <v>1</v>
      </c>
    </row>
    <row r="5">
      <c r="A5" t="inlineStr">
        <is>
          <t>Gabriele</t>
        </is>
      </c>
      <c r="B5" t="inlineStr">
        <is>
          <t>Casal</t>
        </is>
      </c>
      <c r="C5" t="b">
        <v>1</v>
      </c>
    </row>
    <row r="7">
      <c r="A7" s="4" t="inlineStr">
        <is>
          <t>Não renomeie os nomes sem ajustar as fórmulas.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4" customWidth="1" min="15" max="15"/>
    <col width="24" customWidth="1" min="16" max="16"/>
  </cols>
  <sheetData>
    <row r="1" ht="34" customHeight="1">
      <c r="A1" s="3" t="inlineStr">
        <is>
          <t>Data</t>
        </is>
      </c>
      <c r="B1" s="3" t="inlineStr">
        <is>
          <t>Descrição</t>
        </is>
      </c>
      <c r="C1" s="3" t="inlineStr">
        <is>
          <t>Valor (R$)</t>
        </is>
      </c>
      <c r="D1" s="3" t="inlineStr">
        <is>
          <t>Quem pagou</t>
        </is>
      </c>
      <c r="E1" s="3" t="inlineStr">
        <is>
          <t>Tipo</t>
        </is>
      </c>
      <c r="F1" s="3" t="inlineStr">
        <is>
          <t>Eduardo</t>
        </is>
      </c>
      <c r="G1" s="3" t="inlineStr">
        <is>
          <t>Karina</t>
        </is>
      </c>
      <c r="H1" s="3" t="inlineStr">
        <is>
          <t>Bruno</t>
        </is>
      </c>
      <c r="I1" s="3" t="inlineStr">
        <is>
          <t>Gabriele</t>
        </is>
      </c>
      <c r="J1" s="3" t="inlineStr">
        <is>
          <t>Cota Eduardo</t>
        </is>
      </c>
      <c r="K1" s="3" t="inlineStr">
        <is>
          <t>Cota Karina</t>
        </is>
      </c>
      <c r="L1" s="3" t="inlineStr">
        <is>
          <t>Cota Bruno</t>
        </is>
      </c>
      <c r="M1" s="3" t="inlineStr">
        <is>
          <t>Cota Gabriele</t>
        </is>
      </c>
      <c r="N1" s="3" t="inlineStr">
        <is>
          <t>Qtd pessoas</t>
        </is>
      </c>
      <c r="O1" s="3" t="inlineStr">
        <is>
          <t>Categoria</t>
        </is>
      </c>
      <c r="P1" s="3" t="inlineStr">
        <is>
          <t>Obs</t>
        </is>
      </c>
    </row>
    <row r="2">
      <c r="A2" s="5" t="inlineStr"/>
      <c r="B2" s="5" t="inlineStr">
        <is>
          <t>EXEMPLO compartilh. — Mercado Walmart (apague)</t>
        </is>
      </c>
      <c r="C2" s="6" t="n">
        <v>400</v>
      </c>
      <c r="D2" s="5" t="inlineStr">
        <is>
          <t>Bruno</t>
        </is>
      </c>
      <c r="E2" s="5" t="inlineStr">
        <is>
          <t>Compartilhado</t>
        </is>
      </c>
      <c r="F2" s="5" t="b">
        <v>1</v>
      </c>
      <c r="G2" s="5" t="b">
        <v>1</v>
      </c>
      <c r="H2" s="5" t="b">
        <v>1</v>
      </c>
      <c r="I2" s="5" t="b">
        <v>1</v>
      </c>
      <c r="J2" s="6">
        <f>IF(C2="","",IF(E2="Pessoal",IF(D2="Eduardo",C2,0),IF(N2=0,"",IF(F2=TRUE,C2/N2,0))))</f>
        <v/>
      </c>
      <c r="K2" s="6">
        <f>IF(C2="","",IF(E2="Pessoal",IF(D2="Karina",C2,0),IF(N2=0,"",IF(G2=TRUE,C2/N2,0))))</f>
        <v/>
      </c>
      <c r="L2" s="6">
        <f>IF(C2="","",IF(E2="Pessoal",IF(D2="Bruno",C2,0),IF(N2=0,"",IF(H2=TRUE,C2/N2,0))))</f>
        <v/>
      </c>
      <c r="M2" s="6">
        <f>IF(C2="","",IF(E2="Pessoal",IF(D2="Gabriele",C2,0),IF(N2=0,"",IF(I2=TRUE,C2/N2,0))))</f>
        <v/>
      </c>
      <c r="N2" s="5">
        <f>IF(C2="","",IF(E2="Pessoal",1,COUNTIF(F2:I2,TRUE)))</f>
        <v/>
      </c>
      <c r="O2" s="5" t="inlineStr">
        <is>
          <t>Mercado</t>
        </is>
      </c>
      <c r="P2" s="5" t="inlineStr">
        <is>
          <t>÷ 4</t>
        </is>
      </c>
    </row>
    <row r="3">
      <c r="A3" s="5" t="inlineStr"/>
      <c r="B3" s="5" t="inlineStr">
        <is>
          <t>EXEMPLO pessoal — e-SIM do Eduardo (apague)</t>
        </is>
      </c>
      <c r="C3" s="6" t="n">
        <v>175</v>
      </c>
      <c r="D3" s="5" t="inlineStr">
        <is>
          <t>Eduardo</t>
        </is>
      </c>
      <c r="E3" s="5" t="inlineStr">
        <is>
          <t>Pessoal</t>
        </is>
      </c>
      <c r="F3" s="5" t="b">
        <v>0</v>
      </c>
      <c r="G3" s="5" t="b">
        <v>0</v>
      </c>
      <c r="H3" s="5" t="b">
        <v>0</v>
      </c>
      <c r="I3" s="5" t="b">
        <v>0</v>
      </c>
      <c r="J3" s="6">
        <f>IF(C3="","",IF(E3="Pessoal",IF(D3="Eduardo",C3,0),IF(N3=0,"",IF(F3=TRUE,C3/N3,0))))</f>
        <v/>
      </c>
      <c r="K3" s="6">
        <f>IF(C3="","",IF(E3="Pessoal",IF(D3="Karina",C3,0),IF(N3=0,"",IF(G3=TRUE,C3/N3,0))))</f>
        <v/>
      </c>
      <c r="L3" s="6">
        <f>IF(C3="","",IF(E3="Pessoal",IF(D3="Bruno",C3,0),IF(N3=0,"",IF(H3=TRUE,C3/N3,0))))</f>
        <v/>
      </c>
      <c r="M3" s="6">
        <f>IF(C3="","",IF(E3="Pessoal",IF(D3="Gabriele",C3,0),IF(N3=0,"",IF(I3=TRUE,C3/N3,0))))</f>
        <v/>
      </c>
      <c r="N3" s="5">
        <f>IF(C3="","",IF(E3="Pessoal",1,COUNTIF(F3:I3,TRUE)))</f>
        <v/>
      </c>
      <c r="O3" s="5" t="inlineStr">
        <is>
          <t>Internet</t>
        </is>
      </c>
      <c r="P3" s="5" t="inlineStr">
        <is>
          <t>Só entra no custo dele</t>
        </is>
      </c>
    </row>
    <row r="4">
      <c r="A4" s="5" t="inlineStr"/>
      <c r="B4" s="5" t="inlineStr">
        <is>
          <t>EXEMPLO pessoal — lembrancinha Karina (apague)</t>
        </is>
      </c>
      <c r="C4" s="6" t="n">
        <v>80</v>
      </c>
      <c r="D4" s="5" t="inlineStr">
        <is>
          <t>Karina</t>
        </is>
      </c>
      <c r="E4" s="5" t="inlineStr">
        <is>
          <t>Pessoal</t>
        </is>
      </c>
      <c r="F4" s="5" t="b">
        <v>0</v>
      </c>
      <c r="G4" s="5" t="b">
        <v>0</v>
      </c>
      <c r="H4" s="5" t="b">
        <v>0</v>
      </c>
      <c r="I4" s="5" t="b">
        <v>0</v>
      </c>
      <c r="J4" s="6">
        <f>IF(C4="","",IF(E4="Pessoal",IF(D4="Eduardo",C4,0),IF(N4=0,"",IF(F4=TRUE,C4/N4,0))))</f>
        <v/>
      </c>
      <c r="K4" s="6">
        <f>IF(C4="","",IF(E4="Pessoal",IF(D4="Karina",C4,0),IF(N4=0,"",IF(G4=TRUE,C4/N4,0))))</f>
        <v/>
      </c>
      <c r="L4" s="6">
        <f>IF(C4="","",IF(E4="Pessoal",IF(D4="Bruno",C4,0),IF(N4=0,"",IF(H4=TRUE,C4/N4,0))))</f>
        <v/>
      </c>
      <c r="M4" s="6">
        <f>IF(C4="","",IF(E4="Pessoal",IF(D4="Gabriele",C4,0),IF(N4=0,"",IF(I4=TRUE,C4/N4,0))))</f>
        <v/>
      </c>
      <c r="N4" s="5">
        <f>IF(C4="","",IF(E4="Pessoal",1,COUNTIF(F4:I4,TRUE)))</f>
        <v/>
      </c>
      <c r="O4" s="5" t="inlineStr">
        <is>
          <t>Lembrancinha</t>
        </is>
      </c>
      <c r="P4" s="5" t="inlineStr"/>
    </row>
    <row r="5">
      <c r="A5" s="7" t="n"/>
      <c r="B5" s="7" t="n"/>
      <c r="C5" s="8" t="n"/>
      <c r="D5" s="7" t="n"/>
      <c r="E5" s="7" t="n"/>
      <c r="F5" s="7" t="b">
        <v>0</v>
      </c>
      <c r="G5" s="7" t="b">
        <v>0</v>
      </c>
      <c r="H5" s="7" t="b">
        <v>0</v>
      </c>
      <c r="I5" s="7" t="b">
        <v>0</v>
      </c>
      <c r="J5" s="8">
        <f>IF(C5="","",IF(E5="Pessoal",IF(D5="Eduardo",C5,0),IF(N5=0,"",IF(F5=TRUE,C5/N5,0))))</f>
        <v/>
      </c>
      <c r="K5" s="8">
        <f>IF(C5="","",IF(E5="Pessoal",IF(D5="Karina",C5,0),IF(N5=0,"",IF(G5=TRUE,C5/N5,0))))</f>
        <v/>
      </c>
      <c r="L5" s="8">
        <f>IF(C5="","",IF(E5="Pessoal",IF(D5="Bruno",C5,0),IF(N5=0,"",IF(H5=TRUE,C5/N5,0))))</f>
        <v/>
      </c>
      <c r="M5" s="8">
        <f>IF(C5="","",IF(E5="Pessoal",IF(D5="Gabriele",C5,0),IF(N5=0,"",IF(I5=TRUE,C5/N5,0))))</f>
        <v/>
      </c>
      <c r="N5" s="7">
        <f>IF(C5="","",IF(E5="Pessoal",1,COUNTIF(F5:I5,TRUE)))</f>
        <v/>
      </c>
      <c r="O5" s="7" t="n"/>
      <c r="P5" s="7" t="n"/>
    </row>
    <row r="6">
      <c r="A6" s="7" t="n"/>
      <c r="B6" s="7" t="n"/>
      <c r="C6" s="8" t="n"/>
      <c r="D6" s="7" t="n"/>
      <c r="E6" s="7" t="n"/>
      <c r="F6" s="7" t="b">
        <v>0</v>
      </c>
      <c r="G6" s="7" t="b">
        <v>0</v>
      </c>
      <c r="H6" s="7" t="b">
        <v>0</v>
      </c>
      <c r="I6" s="7" t="b">
        <v>0</v>
      </c>
      <c r="J6" s="8">
        <f>IF(C6="","",IF(E6="Pessoal",IF(D6="Eduardo",C6,0),IF(N6=0,"",IF(F6=TRUE,C6/N6,0))))</f>
        <v/>
      </c>
      <c r="K6" s="8">
        <f>IF(C6="","",IF(E6="Pessoal",IF(D6="Karina",C6,0),IF(N6=0,"",IF(G6=TRUE,C6/N6,0))))</f>
        <v/>
      </c>
      <c r="L6" s="8">
        <f>IF(C6="","",IF(E6="Pessoal",IF(D6="Bruno",C6,0),IF(N6=0,"",IF(H6=TRUE,C6/N6,0))))</f>
        <v/>
      </c>
      <c r="M6" s="8">
        <f>IF(C6="","",IF(E6="Pessoal",IF(D6="Gabriele",C6,0),IF(N6=0,"",IF(I6=TRUE,C6/N6,0))))</f>
        <v/>
      </c>
      <c r="N6" s="7">
        <f>IF(C6="","",IF(E6="Pessoal",1,COUNTIF(F6:I6,TRUE)))</f>
        <v/>
      </c>
      <c r="O6" s="7" t="n"/>
      <c r="P6" s="7" t="n"/>
    </row>
    <row r="7">
      <c r="A7" s="7" t="n"/>
      <c r="B7" s="7" t="n"/>
      <c r="C7" s="8" t="n"/>
      <c r="D7" s="7" t="n"/>
      <c r="E7" s="7" t="n"/>
      <c r="F7" s="7" t="b">
        <v>0</v>
      </c>
      <c r="G7" s="7" t="b">
        <v>0</v>
      </c>
      <c r="H7" s="7" t="b">
        <v>0</v>
      </c>
      <c r="I7" s="7" t="b">
        <v>0</v>
      </c>
      <c r="J7" s="8">
        <f>IF(C7="","",IF(E7="Pessoal",IF(D7="Eduardo",C7,0),IF(N7=0,"",IF(F7=TRUE,C7/N7,0))))</f>
        <v/>
      </c>
      <c r="K7" s="8">
        <f>IF(C7="","",IF(E7="Pessoal",IF(D7="Karina",C7,0),IF(N7=0,"",IF(G7=TRUE,C7/N7,0))))</f>
        <v/>
      </c>
      <c r="L7" s="8">
        <f>IF(C7="","",IF(E7="Pessoal",IF(D7="Bruno",C7,0),IF(N7=0,"",IF(H7=TRUE,C7/N7,0))))</f>
        <v/>
      </c>
      <c r="M7" s="8">
        <f>IF(C7="","",IF(E7="Pessoal",IF(D7="Gabriele",C7,0),IF(N7=0,"",IF(I7=TRUE,C7/N7,0))))</f>
        <v/>
      </c>
      <c r="N7" s="7">
        <f>IF(C7="","",IF(E7="Pessoal",1,COUNTIF(F7:I7,TRUE)))</f>
        <v/>
      </c>
      <c r="O7" s="7" t="n"/>
      <c r="P7" s="7" t="n"/>
    </row>
    <row r="8">
      <c r="A8" s="7" t="n"/>
      <c r="B8" s="7" t="n"/>
      <c r="C8" s="8" t="n"/>
      <c r="D8" s="7" t="n"/>
      <c r="E8" s="7" t="n"/>
      <c r="F8" s="7" t="b">
        <v>0</v>
      </c>
      <c r="G8" s="7" t="b">
        <v>0</v>
      </c>
      <c r="H8" s="7" t="b">
        <v>0</v>
      </c>
      <c r="I8" s="7" t="b">
        <v>0</v>
      </c>
      <c r="J8" s="8">
        <f>IF(C8="","",IF(E8="Pessoal",IF(D8="Eduardo",C8,0),IF(N8=0,"",IF(F8=TRUE,C8/N8,0))))</f>
        <v/>
      </c>
      <c r="K8" s="8">
        <f>IF(C8="","",IF(E8="Pessoal",IF(D8="Karina",C8,0),IF(N8=0,"",IF(G8=TRUE,C8/N8,0))))</f>
        <v/>
      </c>
      <c r="L8" s="8">
        <f>IF(C8="","",IF(E8="Pessoal",IF(D8="Bruno",C8,0),IF(N8=0,"",IF(H8=TRUE,C8/N8,0))))</f>
        <v/>
      </c>
      <c r="M8" s="8">
        <f>IF(C8="","",IF(E8="Pessoal",IF(D8="Gabriele",C8,0),IF(N8=0,"",IF(I8=TRUE,C8/N8,0))))</f>
        <v/>
      </c>
      <c r="N8" s="7">
        <f>IF(C8="","",IF(E8="Pessoal",1,COUNTIF(F8:I8,TRUE)))</f>
        <v/>
      </c>
      <c r="O8" s="7" t="n"/>
      <c r="P8" s="7" t="n"/>
    </row>
    <row r="9">
      <c r="A9" s="7" t="n"/>
      <c r="B9" s="7" t="n"/>
      <c r="C9" s="8" t="n"/>
      <c r="D9" s="7" t="n"/>
      <c r="E9" s="7" t="n"/>
      <c r="F9" s="7" t="b">
        <v>0</v>
      </c>
      <c r="G9" s="7" t="b">
        <v>0</v>
      </c>
      <c r="H9" s="7" t="b">
        <v>0</v>
      </c>
      <c r="I9" s="7" t="b">
        <v>0</v>
      </c>
      <c r="J9" s="8">
        <f>IF(C9="","",IF(E9="Pessoal",IF(D9="Eduardo",C9,0),IF(N9=0,"",IF(F9=TRUE,C9/N9,0))))</f>
        <v/>
      </c>
      <c r="K9" s="8">
        <f>IF(C9="","",IF(E9="Pessoal",IF(D9="Karina",C9,0),IF(N9=0,"",IF(G9=TRUE,C9/N9,0))))</f>
        <v/>
      </c>
      <c r="L9" s="8">
        <f>IF(C9="","",IF(E9="Pessoal",IF(D9="Bruno",C9,0),IF(N9=0,"",IF(H9=TRUE,C9/N9,0))))</f>
        <v/>
      </c>
      <c r="M9" s="8">
        <f>IF(C9="","",IF(E9="Pessoal",IF(D9="Gabriele",C9,0),IF(N9=0,"",IF(I9=TRUE,C9/N9,0))))</f>
        <v/>
      </c>
      <c r="N9" s="7">
        <f>IF(C9="","",IF(E9="Pessoal",1,COUNTIF(F9:I9,TRUE)))</f>
        <v/>
      </c>
      <c r="O9" s="7" t="n"/>
      <c r="P9" s="7" t="n"/>
    </row>
    <row r="10">
      <c r="A10" s="7" t="n"/>
      <c r="B10" s="7" t="n"/>
      <c r="C10" s="8" t="n"/>
      <c r="D10" s="7" t="n"/>
      <c r="E10" s="7" t="n"/>
      <c r="F10" s="7" t="b">
        <v>0</v>
      </c>
      <c r="G10" s="7" t="b">
        <v>0</v>
      </c>
      <c r="H10" s="7" t="b">
        <v>0</v>
      </c>
      <c r="I10" s="7" t="b">
        <v>0</v>
      </c>
      <c r="J10" s="8">
        <f>IF(C10="","",IF(E10="Pessoal",IF(D10="Eduardo",C10,0),IF(N10=0,"",IF(F10=TRUE,C10/N10,0))))</f>
        <v/>
      </c>
      <c r="K10" s="8">
        <f>IF(C10="","",IF(E10="Pessoal",IF(D10="Karina",C10,0),IF(N10=0,"",IF(G10=TRUE,C10/N10,0))))</f>
        <v/>
      </c>
      <c r="L10" s="8">
        <f>IF(C10="","",IF(E10="Pessoal",IF(D10="Bruno",C10,0),IF(N10=0,"",IF(H10=TRUE,C10/N10,0))))</f>
        <v/>
      </c>
      <c r="M10" s="8">
        <f>IF(C10="","",IF(E10="Pessoal",IF(D10="Gabriele",C10,0),IF(N10=0,"",IF(I10=TRUE,C10/N10,0))))</f>
        <v/>
      </c>
      <c r="N10" s="7">
        <f>IF(C10="","",IF(E10="Pessoal",1,COUNTIF(F10:I10,TRUE)))</f>
        <v/>
      </c>
      <c r="O10" s="7" t="n"/>
      <c r="P10" s="7" t="n"/>
    </row>
    <row r="11">
      <c r="A11" s="7" t="n"/>
      <c r="B11" s="7" t="n"/>
      <c r="C11" s="8" t="n"/>
      <c r="D11" s="7" t="n"/>
      <c r="E11" s="7" t="n"/>
      <c r="F11" s="7" t="b">
        <v>0</v>
      </c>
      <c r="G11" s="7" t="b">
        <v>0</v>
      </c>
      <c r="H11" s="7" t="b">
        <v>0</v>
      </c>
      <c r="I11" s="7" t="b">
        <v>0</v>
      </c>
      <c r="J11" s="8">
        <f>IF(C11="","",IF(E11="Pessoal",IF(D11="Eduardo",C11,0),IF(N11=0,"",IF(F11=TRUE,C11/N11,0))))</f>
        <v/>
      </c>
      <c r="K11" s="8">
        <f>IF(C11="","",IF(E11="Pessoal",IF(D11="Karina",C11,0),IF(N11=0,"",IF(G11=TRUE,C11/N11,0))))</f>
        <v/>
      </c>
      <c r="L11" s="8">
        <f>IF(C11="","",IF(E11="Pessoal",IF(D11="Bruno",C11,0),IF(N11=0,"",IF(H11=TRUE,C11/N11,0))))</f>
        <v/>
      </c>
      <c r="M11" s="8">
        <f>IF(C11="","",IF(E11="Pessoal",IF(D11="Gabriele",C11,0),IF(N11=0,"",IF(I11=TRUE,C11/N11,0))))</f>
        <v/>
      </c>
      <c r="N11" s="7">
        <f>IF(C11="","",IF(E11="Pessoal",1,COUNTIF(F11:I11,TRUE)))</f>
        <v/>
      </c>
      <c r="O11" s="7" t="n"/>
      <c r="P11" s="7" t="n"/>
    </row>
    <row r="12">
      <c r="A12" s="7" t="n"/>
      <c r="B12" s="7" t="n"/>
      <c r="C12" s="8" t="n"/>
      <c r="D12" s="7" t="n"/>
      <c r="E12" s="7" t="n"/>
      <c r="F12" s="7" t="b">
        <v>0</v>
      </c>
      <c r="G12" s="7" t="b">
        <v>0</v>
      </c>
      <c r="H12" s="7" t="b">
        <v>0</v>
      </c>
      <c r="I12" s="7" t="b">
        <v>0</v>
      </c>
      <c r="J12" s="8">
        <f>IF(C12="","",IF(E12="Pessoal",IF(D12="Eduardo",C12,0),IF(N12=0,"",IF(F12=TRUE,C12/N12,0))))</f>
        <v/>
      </c>
      <c r="K12" s="8">
        <f>IF(C12="","",IF(E12="Pessoal",IF(D12="Karina",C12,0),IF(N12=0,"",IF(G12=TRUE,C12/N12,0))))</f>
        <v/>
      </c>
      <c r="L12" s="8">
        <f>IF(C12="","",IF(E12="Pessoal",IF(D12="Bruno",C12,0),IF(N12=0,"",IF(H12=TRUE,C12/N12,0))))</f>
        <v/>
      </c>
      <c r="M12" s="8">
        <f>IF(C12="","",IF(E12="Pessoal",IF(D12="Gabriele",C12,0),IF(N12=0,"",IF(I12=TRUE,C12/N12,0))))</f>
        <v/>
      </c>
      <c r="N12" s="7">
        <f>IF(C12="","",IF(E12="Pessoal",1,COUNTIF(F12:I12,TRUE)))</f>
        <v/>
      </c>
      <c r="O12" s="7" t="n"/>
      <c r="P12" s="7" t="n"/>
    </row>
    <row r="13">
      <c r="A13" s="7" t="n"/>
      <c r="B13" s="7" t="n"/>
      <c r="C13" s="8" t="n"/>
      <c r="D13" s="7" t="n"/>
      <c r="E13" s="7" t="n"/>
      <c r="F13" s="7" t="b">
        <v>0</v>
      </c>
      <c r="G13" s="7" t="b">
        <v>0</v>
      </c>
      <c r="H13" s="7" t="b">
        <v>0</v>
      </c>
      <c r="I13" s="7" t="b">
        <v>0</v>
      </c>
      <c r="J13" s="8">
        <f>IF(C13="","",IF(E13="Pessoal",IF(D13="Eduardo",C13,0),IF(N13=0,"",IF(F13=TRUE,C13/N13,0))))</f>
        <v/>
      </c>
      <c r="K13" s="8">
        <f>IF(C13="","",IF(E13="Pessoal",IF(D13="Karina",C13,0),IF(N13=0,"",IF(G13=TRUE,C13/N13,0))))</f>
        <v/>
      </c>
      <c r="L13" s="8">
        <f>IF(C13="","",IF(E13="Pessoal",IF(D13="Bruno",C13,0),IF(N13=0,"",IF(H13=TRUE,C13/N13,0))))</f>
        <v/>
      </c>
      <c r="M13" s="8">
        <f>IF(C13="","",IF(E13="Pessoal",IF(D13="Gabriele",C13,0),IF(N13=0,"",IF(I13=TRUE,C13/N13,0))))</f>
        <v/>
      </c>
      <c r="N13" s="7">
        <f>IF(C13="","",IF(E13="Pessoal",1,COUNTIF(F13:I13,TRUE)))</f>
        <v/>
      </c>
      <c r="O13" s="7" t="n"/>
      <c r="P13" s="7" t="n"/>
    </row>
    <row r="14">
      <c r="A14" s="7" t="n"/>
      <c r="B14" s="7" t="n"/>
      <c r="C14" s="8" t="n"/>
      <c r="D14" s="7" t="n"/>
      <c r="E14" s="7" t="n"/>
      <c r="F14" s="7" t="b">
        <v>0</v>
      </c>
      <c r="G14" s="7" t="b">
        <v>0</v>
      </c>
      <c r="H14" s="7" t="b">
        <v>0</v>
      </c>
      <c r="I14" s="7" t="b">
        <v>0</v>
      </c>
      <c r="J14" s="8">
        <f>IF(C14="","",IF(E14="Pessoal",IF(D14="Eduardo",C14,0),IF(N14=0,"",IF(F14=TRUE,C14/N14,0))))</f>
        <v/>
      </c>
      <c r="K14" s="8">
        <f>IF(C14="","",IF(E14="Pessoal",IF(D14="Karina",C14,0),IF(N14=0,"",IF(G14=TRUE,C14/N14,0))))</f>
        <v/>
      </c>
      <c r="L14" s="8">
        <f>IF(C14="","",IF(E14="Pessoal",IF(D14="Bruno",C14,0),IF(N14=0,"",IF(H14=TRUE,C14/N14,0))))</f>
        <v/>
      </c>
      <c r="M14" s="8">
        <f>IF(C14="","",IF(E14="Pessoal",IF(D14="Gabriele",C14,0),IF(N14=0,"",IF(I14=TRUE,C14/N14,0))))</f>
        <v/>
      </c>
      <c r="N14" s="7">
        <f>IF(C14="","",IF(E14="Pessoal",1,COUNTIF(F14:I14,TRUE)))</f>
        <v/>
      </c>
      <c r="O14" s="7" t="n"/>
      <c r="P14" s="7" t="n"/>
    </row>
    <row r="15">
      <c r="A15" s="7" t="n"/>
      <c r="B15" s="7" t="n"/>
      <c r="C15" s="8" t="n"/>
      <c r="D15" s="7" t="n"/>
      <c r="E15" s="7" t="n"/>
      <c r="F15" s="7" t="b">
        <v>0</v>
      </c>
      <c r="G15" s="7" t="b">
        <v>0</v>
      </c>
      <c r="H15" s="7" t="b">
        <v>0</v>
      </c>
      <c r="I15" s="7" t="b">
        <v>0</v>
      </c>
      <c r="J15" s="8">
        <f>IF(C15="","",IF(E15="Pessoal",IF(D15="Eduardo",C15,0),IF(N15=0,"",IF(F15=TRUE,C15/N15,0))))</f>
        <v/>
      </c>
      <c r="K15" s="8">
        <f>IF(C15="","",IF(E15="Pessoal",IF(D15="Karina",C15,0),IF(N15=0,"",IF(G15=TRUE,C15/N15,0))))</f>
        <v/>
      </c>
      <c r="L15" s="8">
        <f>IF(C15="","",IF(E15="Pessoal",IF(D15="Bruno",C15,0),IF(N15=0,"",IF(H15=TRUE,C15/N15,0))))</f>
        <v/>
      </c>
      <c r="M15" s="8">
        <f>IF(C15="","",IF(E15="Pessoal",IF(D15="Gabriele",C15,0),IF(N15=0,"",IF(I15=TRUE,C15/N15,0))))</f>
        <v/>
      </c>
      <c r="N15" s="7">
        <f>IF(C15="","",IF(E15="Pessoal",1,COUNTIF(F15:I15,TRUE)))</f>
        <v/>
      </c>
      <c r="O15" s="7" t="n"/>
      <c r="P15" s="7" t="n"/>
    </row>
    <row r="16">
      <c r="A16" s="7" t="n"/>
      <c r="B16" s="7" t="n"/>
      <c r="C16" s="8" t="n"/>
      <c r="D16" s="7" t="n"/>
      <c r="E16" s="7" t="n"/>
      <c r="F16" s="7" t="b">
        <v>0</v>
      </c>
      <c r="G16" s="7" t="b">
        <v>0</v>
      </c>
      <c r="H16" s="7" t="b">
        <v>0</v>
      </c>
      <c r="I16" s="7" t="b">
        <v>0</v>
      </c>
      <c r="J16" s="8">
        <f>IF(C16="","",IF(E16="Pessoal",IF(D16="Eduardo",C16,0),IF(N16=0,"",IF(F16=TRUE,C16/N16,0))))</f>
        <v/>
      </c>
      <c r="K16" s="8">
        <f>IF(C16="","",IF(E16="Pessoal",IF(D16="Karina",C16,0),IF(N16=0,"",IF(G16=TRUE,C16/N16,0))))</f>
        <v/>
      </c>
      <c r="L16" s="8">
        <f>IF(C16="","",IF(E16="Pessoal",IF(D16="Bruno",C16,0),IF(N16=0,"",IF(H16=TRUE,C16/N16,0))))</f>
        <v/>
      </c>
      <c r="M16" s="8">
        <f>IF(C16="","",IF(E16="Pessoal",IF(D16="Gabriele",C16,0),IF(N16=0,"",IF(I16=TRUE,C16/N16,0))))</f>
        <v/>
      </c>
      <c r="N16" s="7">
        <f>IF(C16="","",IF(E16="Pessoal",1,COUNTIF(F16:I16,TRUE)))</f>
        <v/>
      </c>
      <c r="O16" s="7" t="n"/>
      <c r="P16" s="7" t="n"/>
    </row>
    <row r="17">
      <c r="A17" s="7" t="n"/>
      <c r="B17" s="7" t="n"/>
      <c r="C17" s="8" t="n"/>
      <c r="D17" s="7" t="n"/>
      <c r="E17" s="7" t="n"/>
      <c r="F17" s="7" t="b">
        <v>0</v>
      </c>
      <c r="G17" s="7" t="b">
        <v>0</v>
      </c>
      <c r="H17" s="7" t="b">
        <v>0</v>
      </c>
      <c r="I17" s="7" t="b">
        <v>0</v>
      </c>
      <c r="J17" s="8">
        <f>IF(C17="","",IF(E17="Pessoal",IF(D17="Eduardo",C17,0),IF(N17=0,"",IF(F17=TRUE,C17/N17,0))))</f>
        <v/>
      </c>
      <c r="K17" s="8">
        <f>IF(C17="","",IF(E17="Pessoal",IF(D17="Karina",C17,0),IF(N17=0,"",IF(G17=TRUE,C17/N17,0))))</f>
        <v/>
      </c>
      <c r="L17" s="8">
        <f>IF(C17="","",IF(E17="Pessoal",IF(D17="Bruno",C17,0),IF(N17=0,"",IF(H17=TRUE,C17/N17,0))))</f>
        <v/>
      </c>
      <c r="M17" s="8">
        <f>IF(C17="","",IF(E17="Pessoal",IF(D17="Gabriele",C17,0),IF(N17=0,"",IF(I17=TRUE,C17/N17,0))))</f>
        <v/>
      </c>
      <c r="N17" s="7">
        <f>IF(C17="","",IF(E17="Pessoal",1,COUNTIF(F17:I17,TRUE)))</f>
        <v/>
      </c>
      <c r="O17" s="7" t="n"/>
      <c r="P17" s="7" t="n"/>
    </row>
    <row r="18">
      <c r="A18" s="7" t="n"/>
      <c r="B18" s="7" t="n"/>
      <c r="C18" s="8" t="n"/>
      <c r="D18" s="7" t="n"/>
      <c r="E18" s="7" t="n"/>
      <c r="F18" s="7" t="b">
        <v>0</v>
      </c>
      <c r="G18" s="7" t="b">
        <v>0</v>
      </c>
      <c r="H18" s="7" t="b">
        <v>0</v>
      </c>
      <c r="I18" s="7" t="b">
        <v>0</v>
      </c>
      <c r="J18" s="8">
        <f>IF(C18="","",IF(E18="Pessoal",IF(D18="Eduardo",C18,0),IF(N18=0,"",IF(F18=TRUE,C18/N18,0))))</f>
        <v/>
      </c>
      <c r="K18" s="8">
        <f>IF(C18="","",IF(E18="Pessoal",IF(D18="Karina",C18,0),IF(N18=0,"",IF(G18=TRUE,C18/N18,0))))</f>
        <v/>
      </c>
      <c r="L18" s="8">
        <f>IF(C18="","",IF(E18="Pessoal",IF(D18="Bruno",C18,0),IF(N18=0,"",IF(H18=TRUE,C18/N18,0))))</f>
        <v/>
      </c>
      <c r="M18" s="8">
        <f>IF(C18="","",IF(E18="Pessoal",IF(D18="Gabriele",C18,0),IF(N18=0,"",IF(I18=TRUE,C18/N18,0))))</f>
        <v/>
      </c>
      <c r="N18" s="7">
        <f>IF(C18="","",IF(E18="Pessoal",1,COUNTIF(F18:I18,TRUE)))</f>
        <v/>
      </c>
      <c r="O18" s="7" t="n"/>
      <c r="P18" s="7" t="n"/>
    </row>
    <row r="19">
      <c r="A19" s="7" t="n"/>
      <c r="B19" s="7" t="n"/>
      <c r="C19" s="8" t="n"/>
      <c r="D19" s="7" t="n"/>
      <c r="E19" s="7" t="n"/>
      <c r="F19" s="7" t="b">
        <v>0</v>
      </c>
      <c r="G19" s="7" t="b">
        <v>0</v>
      </c>
      <c r="H19" s="7" t="b">
        <v>0</v>
      </c>
      <c r="I19" s="7" t="b">
        <v>0</v>
      </c>
      <c r="J19" s="8">
        <f>IF(C19="","",IF(E19="Pessoal",IF(D19="Eduardo",C19,0),IF(N19=0,"",IF(F19=TRUE,C19/N19,0))))</f>
        <v/>
      </c>
      <c r="K19" s="8">
        <f>IF(C19="","",IF(E19="Pessoal",IF(D19="Karina",C19,0),IF(N19=0,"",IF(G19=TRUE,C19/N19,0))))</f>
        <v/>
      </c>
      <c r="L19" s="8">
        <f>IF(C19="","",IF(E19="Pessoal",IF(D19="Bruno",C19,0),IF(N19=0,"",IF(H19=TRUE,C19/N19,0))))</f>
        <v/>
      </c>
      <c r="M19" s="8">
        <f>IF(C19="","",IF(E19="Pessoal",IF(D19="Gabriele",C19,0),IF(N19=0,"",IF(I19=TRUE,C19/N19,0))))</f>
        <v/>
      </c>
      <c r="N19" s="7">
        <f>IF(C19="","",IF(E19="Pessoal",1,COUNTIF(F19:I19,TRUE)))</f>
        <v/>
      </c>
      <c r="O19" s="7" t="n"/>
      <c r="P19" s="7" t="n"/>
    </row>
    <row r="20">
      <c r="A20" s="7" t="n"/>
      <c r="B20" s="7" t="n"/>
      <c r="C20" s="8" t="n"/>
      <c r="D20" s="7" t="n"/>
      <c r="E20" s="7" t="n"/>
      <c r="F20" s="7" t="b">
        <v>0</v>
      </c>
      <c r="G20" s="7" t="b">
        <v>0</v>
      </c>
      <c r="H20" s="7" t="b">
        <v>0</v>
      </c>
      <c r="I20" s="7" t="b">
        <v>0</v>
      </c>
      <c r="J20" s="8">
        <f>IF(C20="","",IF(E20="Pessoal",IF(D20="Eduardo",C20,0),IF(N20=0,"",IF(F20=TRUE,C20/N20,0))))</f>
        <v/>
      </c>
      <c r="K20" s="8">
        <f>IF(C20="","",IF(E20="Pessoal",IF(D20="Karina",C20,0),IF(N20=0,"",IF(G20=TRUE,C20/N20,0))))</f>
        <v/>
      </c>
      <c r="L20" s="8">
        <f>IF(C20="","",IF(E20="Pessoal",IF(D20="Bruno",C20,0),IF(N20=0,"",IF(H20=TRUE,C20/N20,0))))</f>
        <v/>
      </c>
      <c r="M20" s="8">
        <f>IF(C20="","",IF(E20="Pessoal",IF(D20="Gabriele",C20,0),IF(N20=0,"",IF(I20=TRUE,C20/N20,0))))</f>
        <v/>
      </c>
      <c r="N20" s="7">
        <f>IF(C20="","",IF(E20="Pessoal",1,COUNTIF(F20:I20,TRUE)))</f>
        <v/>
      </c>
      <c r="O20" s="7" t="n"/>
      <c r="P20" s="7" t="n"/>
    </row>
    <row r="21">
      <c r="A21" s="7" t="n"/>
      <c r="B21" s="7" t="n"/>
      <c r="C21" s="8" t="n"/>
      <c r="D21" s="7" t="n"/>
      <c r="E21" s="7" t="n"/>
      <c r="F21" s="7" t="b">
        <v>0</v>
      </c>
      <c r="G21" s="7" t="b">
        <v>0</v>
      </c>
      <c r="H21" s="7" t="b">
        <v>0</v>
      </c>
      <c r="I21" s="7" t="b">
        <v>0</v>
      </c>
      <c r="J21" s="8">
        <f>IF(C21="","",IF(E21="Pessoal",IF(D21="Eduardo",C21,0),IF(N21=0,"",IF(F21=TRUE,C21/N21,0))))</f>
        <v/>
      </c>
      <c r="K21" s="8">
        <f>IF(C21="","",IF(E21="Pessoal",IF(D21="Karina",C21,0),IF(N21=0,"",IF(G21=TRUE,C21/N21,0))))</f>
        <v/>
      </c>
      <c r="L21" s="8">
        <f>IF(C21="","",IF(E21="Pessoal",IF(D21="Bruno",C21,0),IF(N21=0,"",IF(H21=TRUE,C21/N21,0))))</f>
        <v/>
      </c>
      <c r="M21" s="8">
        <f>IF(C21="","",IF(E21="Pessoal",IF(D21="Gabriele",C21,0),IF(N21=0,"",IF(I21=TRUE,C21/N21,0))))</f>
        <v/>
      </c>
      <c r="N21" s="7">
        <f>IF(C21="","",IF(E21="Pessoal",1,COUNTIF(F21:I21,TRUE)))</f>
        <v/>
      </c>
      <c r="O21" s="7" t="n"/>
      <c r="P21" s="7" t="n"/>
    </row>
    <row r="22">
      <c r="A22" s="7" t="n"/>
      <c r="B22" s="7" t="n"/>
      <c r="C22" s="8" t="n"/>
      <c r="D22" s="7" t="n"/>
      <c r="E22" s="7" t="n"/>
      <c r="F22" s="7" t="b">
        <v>0</v>
      </c>
      <c r="G22" s="7" t="b">
        <v>0</v>
      </c>
      <c r="H22" s="7" t="b">
        <v>0</v>
      </c>
      <c r="I22" s="7" t="b">
        <v>0</v>
      </c>
      <c r="J22" s="8">
        <f>IF(C22="","",IF(E22="Pessoal",IF(D22="Eduardo",C22,0),IF(N22=0,"",IF(F22=TRUE,C22/N22,0))))</f>
        <v/>
      </c>
      <c r="K22" s="8">
        <f>IF(C22="","",IF(E22="Pessoal",IF(D22="Karina",C22,0),IF(N22=0,"",IF(G22=TRUE,C22/N22,0))))</f>
        <v/>
      </c>
      <c r="L22" s="8">
        <f>IF(C22="","",IF(E22="Pessoal",IF(D22="Bruno",C22,0),IF(N22=0,"",IF(H22=TRUE,C22/N22,0))))</f>
        <v/>
      </c>
      <c r="M22" s="8">
        <f>IF(C22="","",IF(E22="Pessoal",IF(D22="Gabriele",C22,0),IF(N22=0,"",IF(I22=TRUE,C22/N22,0))))</f>
        <v/>
      </c>
      <c r="N22" s="7">
        <f>IF(C22="","",IF(E22="Pessoal",1,COUNTIF(F22:I22,TRUE)))</f>
        <v/>
      </c>
      <c r="O22" s="7" t="n"/>
      <c r="P22" s="7" t="n"/>
    </row>
    <row r="23">
      <c r="A23" s="7" t="n"/>
      <c r="B23" s="7" t="n"/>
      <c r="C23" s="8" t="n"/>
      <c r="D23" s="7" t="n"/>
      <c r="E23" s="7" t="n"/>
      <c r="F23" s="7" t="b">
        <v>0</v>
      </c>
      <c r="G23" s="7" t="b">
        <v>0</v>
      </c>
      <c r="H23" s="7" t="b">
        <v>0</v>
      </c>
      <c r="I23" s="7" t="b">
        <v>0</v>
      </c>
      <c r="J23" s="8">
        <f>IF(C23="","",IF(E23="Pessoal",IF(D23="Eduardo",C23,0),IF(N23=0,"",IF(F23=TRUE,C23/N23,0))))</f>
        <v/>
      </c>
      <c r="K23" s="8">
        <f>IF(C23="","",IF(E23="Pessoal",IF(D23="Karina",C23,0),IF(N23=0,"",IF(G23=TRUE,C23/N23,0))))</f>
        <v/>
      </c>
      <c r="L23" s="8">
        <f>IF(C23="","",IF(E23="Pessoal",IF(D23="Bruno",C23,0),IF(N23=0,"",IF(H23=TRUE,C23/N23,0))))</f>
        <v/>
      </c>
      <c r="M23" s="8">
        <f>IF(C23="","",IF(E23="Pessoal",IF(D23="Gabriele",C23,0),IF(N23=0,"",IF(I23=TRUE,C23/N23,0))))</f>
        <v/>
      </c>
      <c r="N23" s="7">
        <f>IF(C23="","",IF(E23="Pessoal",1,COUNTIF(F23:I23,TRUE)))</f>
        <v/>
      </c>
      <c r="O23" s="7" t="n"/>
      <c r="P23" s="7" t="n"/>
    </row>
    <row r="24">
      <c r="A24" s="7" t="n"/>
      <c r="B24" s="7" t="n"/>
      <c r="C24" s="8" t="n"/>
      <c r="D24" s="7" t="n"/>
      <c r="E24" s="7" t="n"/>
      <c r="F24" s="7" t="b">
        <v>0</v>
      </c>
      <c r="G24" s="7" t="b">
        <v>0</v>
      </c>
      <c r="H24" s="7" t="b">
        <v>0</v>
      </c>
      <c r="I24" s="7" t="b">
        <v>0</v>
      </c>
      <c r="J24" s="8">
        <f>IF(C24="","",IF(E24="Pessoal",IF(D24="Eduardo",C24,0),IF(N24=0,"",IF(F24=TRUE,C24/N24,0))))</f>
        <v/>
      </c>
      <c r="K24" s="8">
        <f>IF(C24="","",IF(E24="Pessoal",IF(D24="Karina",C24,0),IF(N24=0,"",IF(G24=TRUE,C24/N24,0))))</f>
        <v/>
      </c>
      <c r="L24" s="8">
        <f>IF(C24="","",IF(E24="Pessoal",IF(D24="Bruno",C24,0),IF(N24=0,"",IF(H24=TRUE,C24/N24,0))))</f>
        <v/>
      </c>
      <c r="M24" s="8">
        <f>IF(C24="","",IF(E24="Pessoal",IF(D24="Gabriele",C24,0),IF(N24=0,"",IF(I24=TRUE,C24/N24,0))))</f>
        <v/>
      </c>
      <c r="N24" s="7">
        <f>IF(C24="","",IF(E24="Pessoal",1,COUNTIF(F24:I24,TRUE)))</f>
        <v/>
      </c>
      <c r="O24" s="7" t="n"/>
      <c r="P24" s="7" t="n"/>
    </row>
    <row r="25">
      <c r="A25" s="7" t="n"/>
      <c r="B25" s="7" t="n"/>
      <c r="C25" s="8" t="n"/>
      <c r="D25" s="7" t="n"/>
      <c r="E25" s="7" t="n"/>
      <c r="F25" s="7" t="b">
        <v>0</v>
      </c>
      <c r="G25" s="7" t="b">
        <v>0</v>
      </c>
      <c r="H25" s="7" t="b">
        <v>0</v>
      </c>
      <c r="I25" s="7" t="b">
        <v>0</v>
      </c>
      <c r="J25" s="8">
        <f>IF(C25="","",IF(E25="Pessoal",IF(D25="Eduardo",C25,0),IF(N25=0,"",IF(F25=TRUE,C25/N25,0))))</f>
        <v/>
      </c>
      <c r="K25" s="8">
        <f>IF(C25="","",IF(E25="Pessoal",IF(D25="Karina",C25,0),IF(N25=0,"",IF(G25=TRUE,C25/N25,0))))</f>
        <v/>
      </c>
      <c r="L25" s="8">
        <f>IF(C25="","",IF(E25="Pessoal",IF(D25="Bruno",C25,0),IF(N25=0,"",IF(H25=TRUE,C25/N25,0))))</f>
        <v/>
      </c>
      <c r="M25" s="8">
        <f>IF(C25="","",IF(E25="Pessoal",IF(D25="Gabriele",C25,0),IF(N25=0,"",IF(I25=TRUE,C25/N25,0))))</f>
        <v/>
      </c>
      <c r="N25" s="7">
        <f>IF(C25="","",IF(E25="Pessoal",1,COUNTIF(F25:I25,TRUE)))</f>
        <v/>
      </c>
      <c r="O25" s="7" t="n"/>
      <c r="P25" s="7" t="n"/>
    </row>
    <row r="26">
      <c r="A26" s="7" t="n"/>
      <c r="B26" s="7" t="n"/>
      <c r="C26" s="8" t="n"/>
      <c r="D26" s="7" t="n"/>
      <c r="E26" s="7" t="n"/>
      <c r="F26" s="7" t="b">
        <v>0</v>
      </c>
      <c r="G26" s="7" t="b">
        <v>0</v>
      </c>
      <c r="H26" s="7" t="b">
        <v>0</v>
      </c>
      <c r="I26" s="7" t="b">
        <v>0</v>
      </c>
      <c r="J26" s="8">
        <f>IF(C26="","",IF(E26="Pessoal",IF(D26="Eduardo",C26,0),IF(N26=0,"",IF(F26=TRUE,C26/N26,0))))</f>
        <v/>
      </c>
      <c r="K26" s="8">
        <f>IF(C26="","",IF(E26="Pessoal",IF(D26="Karina",C26,0),IF(N26=0,"",IF(G26=TRUE,C26/N26,0))))</f>
        <v/>
      </c>
      <c r="L26" s="8">
        <f>IF(C26="","",IF(E26="Pessoal",IF(D26="Bruno",C26,0),IF(N26=0,"",IF(H26=TRUE,C26/N26,0))))</f>
        <v/>
      </c>
      <c r="M26" s="8">
        <f>IF(C26="","",IF(E26="Pessoal",IF(D26="Gabriele",C26,0),IF(N26=0,"",IF(I26=TRUE,C26/N26,0))))</f>
        <v/>
      </c>
      <c r="N26" s="7">
        <f>IF(C26="","",IF(E26="Pessoal",1,COUNTIF(F26:I26,TRUE)))</f>
        <v/>
      </c>
      <c r="O26" s="7" t="n"/>
      <c r="P26" s="7" t="n"/>
    </row>
    <row r="27">
      <c r="A27" s="7" t="n"/>
      <c r="B27" s="7" t="n"/>
      <c r="C27" s="8" t="n"/>
      <c r="D27" s="7" t="n"/>
      <c r="E27" s="7" t="n"/>
      <c r="F27" s="7" t="b">
        <v>0</v>
      </c>
      <c r="G27" s="7" t="b">
        <v>0</v>
      </c>
      <c r="H27" s="7" t="b">
        <v>0</v>
      </c>
      <c r="I27" s="7" t="b">
        <v>0</v>
      </c>
      <c r="J27" s="8">
        <f>IF(C27="","",IF(E27="Pessoal",IF(D27="Eduardo",C27,0),IF(N27=0,"",IF(F27=TRUE,C27/N27,0))))</f>
        <v/>
      </c>
      <c r="K27" s="8">
        <f>IF(C27="","",IF(E27="Pessoal",IF(D27="Karina",C27,0),IF(N27=0,"",IF(G27=TRUE,C27/N27,0))))</f>
        <v/>
      </c>
      <c r="L27" s="8">
        <f>IF(C27="","",IF(E27="Pessoal",IF(D27="Bruno",C27,0),IF(N27=0,"",IF(H27=TRUE,C27/N27,0))))</f>
        <v/>
      </c>
      <c r="M27" s="8">
        <f>IF(C27="","",IF(E27="Pessoal",IF(D27="Gabriele",C27,0),IF(N27=0,"",IF(I27=TRUE,C27/N27,0))))</f>
        <v/>
      </c>
      <c r="N27" s="7">
        <f>IF(C27="","",IF(E27="Pessoal",1,COUNTIF(F27:I27,TRUE)))</f>
        <v/>
      </c>
      <c r="O27" s="7" t="n"/>
      <c r="P27" s="7" t="n"/>
    </row>
    <row r="28">
      <c r="A28" s="7" t="n"/>
      <c r="B28" s="7" t="n"/>
      <c r="C28" s="8" t="n"/>
      <c r="D28" s="7" t="n"/>
      <c r="E28" s="7" t="n"/>
      <c r="F28" s="7" t="b">
        <v>0</v>
      </c>
      <c r="G28" s="7" t="b">
        <v>0</v>
      </c>
      <c r="H28" s="7" t="b">
        <v>0</v>
      </c>
      <c r="I28" s="7" t="b">
        <v>0</v>
      </c>
      <c r="J28" s="8">
        <f>IF(C28="","",IF(E28="Pessoal",IF(D28="Eduardo",C28,0),IF(N28=0,"",IF(F28=TRUE,C28/N28,0))))</f>
        <v/>
      </c>
      <c r="K28" s="8">
        <f>IF(C28="","",IF(E28="Pessoal",IF(D28="Karina",C28,0),IF(N28=0,"",IF(G28=TRUE,C28/N28,0))))</f>
        <v/>
      </c>
      <c r="L28" s="8">
        <f>IF(C28="","",IF(E28="Pessoal",IF(D28="Bruno",C28,0),IF(N28=0,"",IF(H28=TRUE,C28/N28,0))))</f>
        <v/>
      </c>
      <c r="M28" s="8">
        <f>IF(C28="","",IF(E28="Pessoal",IF(D28="Gabriele",C28,0),IF(N28=0,"",IF(I28=TRUE,C28/N28,0))))</f>
        <v/>
      </c>
      <c r="N28" s="7">
        <f>IF(C28="","",IF(E28="Pessoal",1,COUNTIF(F28:I28,TRUE)))</f>
        <v/>
      </c>
      <c r="O28" s="7" t="n"/>
      <c r="P28" s="7" t="n"/>
    </row>
    <row r="29">
      <c r="A29" s="7" t="n"/>
      <c r="B29" s="7" t="n"/>
      <c r="C29" s="8" t="n"/>
      <c r="D29" s="7" t="n"/>
      <c r="E29" s="7" t="n"/>
      <c r="F29" s="7" t="b">
        <v>0</v>
      </c>
      <c r="G29" s="7" t="b">
        <v>0</v>
      </c>
      <c r="H29" s="7" t="b">
        <v>0</v>
      </c>
      <c r="I29" s="7" t="b">
        <v>0</v>
      </c>
      <c r="J29" s="8">
        <f>IF(C29="","",IF(E29="Pessoal",IF(D29="Eduardo",C29,0),IF(N29=0,"",IF(F29=TRUE,C29/N29,0))))</f>
        <v/>
      </c>
      <c r="K29" s="8">
        <f>IF(C29="","",IF(E29="Pessoal",IF(D29="Karina",C29,0),IF(N29=0,"",IF(G29=TRUE,C29/N29,0))))</f>
        <v/>
      </c>
      <c r="L29" s="8">
        <f>IF(C29="","",IF(E29="Pessoal",IF(D29="Bruno",C29,0),IF(N29=0,"",IF(H29=TRUE,C29/N29,0))))</f>
        <v/>
      </c>
      <c r="M29" s="8">
        <f>IF(C29="","",IF(E29="Pessoal",IF(D29="Gabriele",C29,0),IF(N29=0,"",IF(I29=TRUE,C29/N29,0))))</f>
        <v/>
      </c>
      <c r="N29" s="7">
        <f>IF(C29="","",IF(E29="Pessoal",1,COUNTIF(F29:I29,TRUE)))</f>
        <v/>
      </c>
      <c r="O29" s="7" t="n"/>
      <c r="P29" s="7" t="n"/>
    </row>
    <row r="30">
      <c r="A30" s="7" t="n"/>
      <c r="B30" s="7" t="n"/>
      <c r="C30" s="8" t="n"/>
      <c r="D30" s="7" t="n"/>
      <c r="E30" s="7" t="n"/>
      <c r="F30" s="7" t="b">
        <v>0</v>
      </c>
      <c r="G30" s="7" t="b">
        <v>0</v>
      </c>
      <c r="H30" s="7" t="b">
        <v>0</v>
      </c>
      <c r="I30" s="7" t="b">
        <v>0</v>
      </c>
      <c r="J30" s="8">
        <f>IF(C30="","",IF(E30="Pessoal",IF(D30="Eduardo",C30,0),IF(N30=0,"",IF(F30=TRUE,C30/N30,0))))</f>
        <v/>
      </c>
      <c r="K30" s="8">
        <f>IF(C30="","",IF(E30="Pessoal",IF(D30="Karina",C30,0),IF(N30=0,"",IF(G30=TRUE,C30/N30,0))))</f>
        <v/>
      </c>
      <c r="L30" s="8">
        <f>IF(C30="","",IF(E30="Pessoal",IF(D30="Bruno",C30,0),IF(N30=0,"",IF(H30=TRUE,C30/N30,0))))</f>
        <v/>
      </c>
      <c r="M30" s="8">
        <f>IF(C30="","",IF(E30="Pessoal",IF(D30="Gabriele",C30,0),IF(N30=0,"",IF(I30=TRUE,C30/N30,0))))</f>
        <v/>
      </c>
      <c r="N30" s="7">
        <f>IF(C30="","",IF(E30="Pessoal",1,COUNTIF(F30:I30,TRUE)))</f>
        <v/>
      </c>
      <c r="O30" s="7" t="n"/>
      <c r="P30" s="7" t="n"/>
    </row>
    <row r="31">
      <c r="A31" s="7" t="n"/>
      <c r="B31" s="7" t="n"/>
      <c r="C31" s="8" t="n"/>
      <c r="D31" s="7" t="n"/>
      <c r="E31" s="7" t="n"/>
      <c r="F31" s="7" t="b">
        <v>0</v>
      </c>
      <c r="G31" s="7" t="b">
        <v>0</v>
      </c>
      <c r="H31" s="7" t="b">
        <v>0</v>
      </c>
      <c r="I31" s="7" t="b">
        <v>0</v>
      </c>
      <c r="J31" s="8">
        <f>IF(C31="","",IF(E31="Pessoal",IF(D31="Eduardo",C31,0),IF(N31=0,"",IF(F31=TRUE,C31/N31,0))))</f>
        <v/>
      </c>
      <c r="K31" s="8">
        <f>IF(C31="","",IF(E31="Pessoal",IF(D31="Karina",C31,0),IF(N31=0,"",IF(G31=TRUE,C31/N31,0))))</f>
        <v/>
      </c>
      <c r="L31" s="8">
        <f>IF(C31="","",IF(E31="Pessoal",IF(D31="Bruno",C31,0),IF(N31=0,"",IF(H31=TRUE,C31/N31,0))))</f>
        <v/>
      </c>
      <c r="M31" s="8">
        <f>IF(C31="","",IF(E31="Pessoal",IF(D31="Gabriele",C31,0),IF(N31=0,"",IF(I31=TRUE,C31/N31,0))))</f>
        <v/>
      </c>
      <c r="N31" s="7">
        <f>IF(C31="","",IF(E31="Pessoal",1,COUNTIF(F31:I31,TRUE)))</f>
        <v/>
      </c>
      <c r="O31" s="7" t="n"/>
      <c r="P31" s="7" t="n"/>
    </row>
    <row r="32">
      <c r="A32" s="7" t="n"/>
      <c r="B32" s="7" t="n"/>
      <c r="C32" s="8" t="n"/>
      <c r="D32" s="7" t="n"/>
      <c r="E32" s="7" t="n"/>
      <c r="F32" s="7" t="b">
        <v>0</v>
      </c>
      <c r="G32" s="7" t="b">
        <v>0</v>
      </c>
      <c r="H32" s="7" t="b">
        <v>0</v>
      </c>
      <c r="I32" s="7" t="b">
        <v>0</v>
      </c>
      <c r="J32" s="8">
        <f>IF(C32="","",IF(E32="Pessoal",IF(D32="Eduardo",C32,0),IF(N32=0,"",IF(F32=TRUE,C32/N32,0))))</f>
        <v/>
      </c>
      <c r="K32" s="8">
        <f>IF(C32="","",IF(E32="Pessoal",IF(D32="Karina",C32,0),IF(N32=0,"",IF(G32=TRUE,C32/N32,0))))</f>
        <v/>
      </c>
      <c r="L32" s="8">
        <f>IF(C32="","",IF(E32="Pessoal",IF(D32="Bruno",C32,0),IF(N32=0,"",IF(H32=TRUE,C32/N32,0))))</f>
        <v/>
      </c>
      <c r="M32" s="8">
        <f>IF(C32="","",IF(E32="Pessoal",IF(D32="Gabriele",C32,0),IF(N32=0,"",IF(I32=TRUE,C32/N32,0))))</f>
        <v/>
      </c>
      <c r="N32" s="7">
        <f>IF(C32="","",IF(E32="Pessoal",1,COUNTIF(F32:I32,TRUE)))</f>
        <v/>
      </c>
      <c r="O32" s="7" t="n"/>
      <c r="P32" s="7" t="n"/>
    </row>
    <row r="33">
      <c r="A33" s="7" t="n"/>
      <c r="B33" s="7" t="n"/>
      <c r="C33" s="8" t="n"/>
      <c r="D33" s="7" t="n"/>
      <c r="E33" s="7" t="n"/>
      <c r="F33" s="7" t="b">
        <v>0</v>
      </c>
      <c r="G33" s="7" t="b">
        <v>0</v>
      </c>
      <c r="H33" s="7" t="b">
        <v>0</v>
      </c>
      <c r="I33" s="7" t="b">
        <v>0</v>
      </c>
      <c r="J33" s="8">
        <f>IF(C33="","",IF(E33="Pessoal",IF(D33="Eduardo",C33,0),IF(N33=0,"",IF(F33=TRUE,C33/N33,0))))</f>
        <v/>
      </c>
      <c r="K33" s="8">
        <f>IF(C33="","",IF(E33="Pessoal",IF(D33="Karina",C33,0),IF(N33=0,"",IF(G33=TRUE,C33/N33,0))))</f>
        <v/>
      </c>
      <c r="L33" s="8">
        <f>IF(C33="","",IF(E33="Pessoal",IF(D33="Bruno",C33,0),IF(N33=0,"",IF(H33=TRUE,C33/N33,0))))</f>
        <v/>
      </c>
      <c r="M33" s="8">
        <f>IF(C33="","",IF(E33="Pessoal",IF(D33="Gabriele",C33,0),IF(N33=0,"",IF(I33=TRUE,C33/N33,0))))</f>
        <v/>
      </c>
      <c r="N33" s="7">
        <f>IF(C33="","",IF(E33="Pessoal",1,COUNTIF(F33:I33,TRUE)))</f>
        <v/>
      </c>
      <c r="O33" s="7" t="n"/>
      <c r="P33" s="7" t="n"/>
    </row>
    <row r="34">
      <c r="A34" s="7" t="n"/>
      <c r="B34" s="7" t="n"/>
      <c r="C34" s="8" t="n"/>
      <c r="D34" s="7" t="n"/>
      <c r="E34" s="7" t="n"/>
      <c r="F34" s="7" t="b">
        <v>0</v>
      </c>
      <c r="G34" s="7" t="b">
        <v>0</v>
      </c>
      <c r="H34" s="7" t="b">
        <v>0</v>
      </c>
      <c r="I34" s="7" t="b">
        <v>0</v>
      </c>
      <c r="J34" s="8">
        <f>IF(C34="","",IF(E34="Pessoal",IF(D34="Eduardo",C34,0),IF(N34=0,"",IF(F34=TRUE,C34/N34,0))))</f>
        <v/>
      </c>
      <c r="K34" s="8">
        <f>IF(C34="","",IF(E34="Pessoal",IF(D34="Karina",C34,0),IF(N34=0,"",IF(G34=TRUE,C34/N34,0))))</f>
        <v/>
      </c>
      <c r="L34" s="8">
        <f>IF(C34="","",IF(E34="Pessoal",IF(D34="Bruno",C34,0),IF(N34=0,"",IF(H34=TRUE,C34/N34,0))))</f>
        <v/>
      </c>
      <c r="M34" s="8">
        <f>IF(C34="","",IF(E34="Pessoal",IF(D34="Gabriele",C34,0),IF(N34=0,"",IF(I34=TRUE,C34/N34,0))))</f>
        <v/>
      </c>
      <c r="N34" s="7">
        <f>IF(C34="","",IF(E34="Pessoal",1,COUNTIF(F34:I34,TRUE)))</f>
        <v/>
      </c>
      <c r="O34" s="7" t="n"/>
      <c r="P34" s="7" t="n"/>
    </row>
    <row r="35">
      <c r="A35" s="7" t="n"/>
      <c r="B35" s="7" t="n"/>
      <c r="C35" s="8" t="n"/>
      <c r="D35" s="7" t="n"/>
      <c r="E35" s="7" t="n"/>
      <c r="F35" s="7" t="b">
        <v>0</v>
      </c>
      <c r="G35" s="7" t="b">
        <v>0</v>
      </c>
      <c r="H35" s="7" t="b">
        <v>0</v>
      </c>
      <c r="I35" s="7" t="b">
        <v>0</v>
      </c>
      <c r="J35" s="8">
        <f>IF(C35="","",IF(E35="Pessoal",IF(D35="Eduardo",C35,0),IF(N35=0,"",IF(F35=TRUE,C35/N35,0))))</f>
        <v/>
      </c>
      <c r="K35" s="8">
        <f>IF(C35="","",IF(E35="Pessoal",IF(D35="Karina",C35,0),IF(N35=0,"",IF(G35=TRUE,C35/N35,0))))</f>
        <v/>
      </c>
      <c r="L35" s="8">
        <f>IF(C35="","",IF(E35="Pessoal",IF(D35="Bruno",C35,0),IF(N35=0,"",IF(H35=TRUE,C35/N35,0))))</f>
        <v/>
      </c>
      <c r="M35" s="8">
        <f>IF(C35="","",IF(E35="Pessoal",IF(D35="Gabriele",C35,0),IF(N35=0,"",IF(I35=TRUE,C35/N35,0))))</f>
        <v/>
      </c>
      <c r="N35" s="7">
        <f>IF(C35="","",IF(E35="Pessoal",1,COUNTIF(F35:I35,TRUE)))</f>
        <v/>
      </c>
      <c r="O35" s="7" t="n"/>
      <c r="P35" s="7" t="n"/>
    </row>
    <row r="36">
      <c r="A36" s="7" t="n"/>
      <c r="B36" s="7" t="n"/>
      <c r="C36" s="8" t="n"/>
      <c r="D36" s="7" t="n"/>
      <c r="E36" s="7" t="n"/>
      <c r="F36" s="7" t="b">
        <v>0</v>
      </c>
      <c r="G36" s="7" t="b">
        <v>0</v>
      </c>
      <c r="H36" s="7" t="b">
        <v>0</v>
      </c>
      <c r="I36" s="7" t="b">
        <v>0</v>
      </c>
      <c r="J36" s="8">
        <f>IF(C36="","",IF(E36="Pessoal",IF(D36="Eduardo",C36,0),IF(N36=0,"",IF(F36=TRUE,C36/N36,0))))</f>
        <v/>
      </c>
      <c r="K36" s="8">
        <f>IF(C36="","",IF(E36="Pessoal",IF(D36="Karina",C36,0),IF(N36=0,"",IF(G36=TRUE,C36/N36,0))))</f>
        <v/>
      </c>
      <c r="L36" s="8">
        <f>IF(C36="","",IF(E36="Pessoal",IF(D36="Bruno",C36,0),IF(N36=0,"",IF(H36=TRUE,C36/N36,0))))</f>
        <v/>
      </c>
      <c r="M36" s="8">
        <f>IF(C36="","",IF(E36="Pessoal",IF(D36="Gabriele",C36,0),IF(N36=0,"",IF(I36=TRUE,C36/N36,0))))</f>
        <v/>
      </c>
      <c r="N36" s="7">
        <f>IF(C36="","",IF(E36="Pessoal",1,COUNTIF(F36:I36,TRUE)))</f>
        <v/>
      </c>
      <c r="O36" s="7" t="n"/>
      <c r="P36" s="7" t="n"/>
    </row>
    <row r="37">
      <c r="A37" s="7" t="n"/>
      <c r="B37" s="7" t="n"/>
      <c r="C37" s="8" t="n"/>
      <c r="D37" s="7" t="n"/>
      <c r="E37" s="7" t="n"/>
      <c r="F37" s="7" t="b">
        <v>0</v>
      </c>
      <c r="G37" s="7" t="b">
        <v>0</v>
      </c>
      <c r="H37" s="7" t="b">
        <v>0</v>
      </c>
      <c r="I37" s="7" t="b">
        <v>0</v>
      </c>
      <c r="J37" s="8">
        <f>IF(C37="","",IF(E37="Pessoal",IF(D37="Eduardo",C37,0),IF(N37=0,"",IF(F37=TRUE,C37/N37,0))))</f>
        <v/>
      </c>
      <c r="K37" s="8">
        <f>IF(C37="","",IF(E37="Pessoal",IF(D37="Karina",C37,0),IF(N37=0,"",IF(G37=TRUE,C37/N37,0))))</f>
        <v/>
      </c>
      <c r="L37" s="8">
        <f>IF(C37="","",IF(E37="Pessoal",IF(D37="Bruno",C37,0),IF(N37=0,"",IF(H37=TRUE,C37/N37,0))))</f>
        <v/>
      </c>
      <c r="M37" s="8">
        <f>IF(C37="","",IF(E37="Pessoal",IF(D37="Gabriele",C37,0),IF(N37=0,"",IF(I37=TRUE,C37/N37,0))))</f>
        <v/>
      </c>
      <c r="N37" s="7">
        <f>IF(C37="","",IF(E37="Pessoal",1,COUNTIF(F37:I37,TRUE)))</f>
        <v/>
      </c>
      <c r="O37" s="7" t="n"/>
      <c r="P37" s="7" t="n"/>
    </row>
    <row r="38">
      <c r="A38" s="7" t="n"/>
      <c r="B38" s="7" t="n"/>
      <c r="C38" s="8" t="n"/>
      <c r="D38" s="7" t="n"/>
      <c r="E38" s="7" t="n"/>
      <c r="F38" s="7" t="b">
        <v>0</v>
      </c>
      <c r="G38" s="7" t="b">
        <v>0</v>
      </c>
      <c r="H38" s="7" t="b">
        <v>0</v>
      </c>
      <c r="I38" s="7" t="b">
        <v>0</v>
      </c>
      <c r="J38" s="8">
        <f>IF(C38="","",IF(E38="Pessoal",IF(D38="Eduardo",C38,0),IF(N38=0,"",IF(F38=TRUE,C38/N38,0))))</f>
        <v/>
      </c>
      <c r="K38" s="8">
        <f>IF(C38="","",IF(E38="Pessoal",IF(D38="Karina",C38,0),IF(N38=0,"",IF(G38=TRUE,C38/N38,0))))</f>
        <v/>
      </c>
      <c r="L38" s="8">
        <f>IF(C38="","",IF(E38="Pessoal",IF(D38="Bruno",C38,0),IF(N38=0,"",IF(H38=TRUE,C38/N38,0))))</f>
        <v/>
      </c>
      <c r="M38" s="8">
        <f>IF(C38="","",IF(E38="Pessoal",IF(D38="Gabriele",C38,0),IF(N38=0,"",IF(I38=TRUE,C38/N38,0))))</f>
        <v/>
      </c>
      <c r="N38" s="7">
        <f>IF(C38="","",IF(E38="Pessoal",1,COUNTIF(F38:I38,TRUE)))</f>
        <v/>
      </c>
      <c r="O38" s="7" t="n"/>
      <c r="P38" s="7" t="n"/>
    </row>
    <row r="39">
      <c r="A39" s="7" t="n"/>
      <c r="B39" s="7" t="n"/>
      <c r="C39" s="8" t="n"/>
      <c r="D39" s="7" t="n"/>
      <c r="E39" s="7" t="n"/>
      <c r="F39" s="7" t="b">
        <v>0</v>
      </c>
      <c r="G39" s="7" t="b">
        <v>0</v>
      </c>
      <c r="H39" s="7" t="b">
        <v>0</v>
      </c>
      <c r="I39" s="7" t="b">
        <v>0</v>
      </c>
      <c r="J39" s="8">
        <f>IF(C39="","",IF(E39="Pessoal",IF(D39="Eduardo",C39,0),IF(N39=0,"",IF(F39=TRUE,C39/N39,0))))</f>
        <v/>
      </c>
      <c r="K39" s="8">
        <f>IF(C39="","",IF(E39="Pessoal",IF(D39="Karina",C39,0),IF(N39=0,"",IF(G39=TRUE,C39/N39,0))))</f>
        <v/>
      </c>
      <c r="L39" s="8">
        <f>IF(C39="","",IF(E39="Pessoal",IF(D39="Bruno",C39,0),IF(N39=0,"",IF(H39=TRUE,C39/N39,0))))</f>
        <v/>
      </c>
      <c r="M39" s="8">
        <f>IF(C39="","",IF(E39="Pessoal",IF(D39="Gabriele",C39,0),IF(N39=0,"",IF(I39=TRUE,C39/N39,0))))</f>
        <v/>
      </c>
      <c r="N39" s="7">
        <f>IF(C39="","",IF(E39="Pessoal",1,COUNTIF(F39:I39,TRUE)))</f>
        <v/>
      </c>
      <c r="O39" s="7" t="n"/>
      <c r="P39" s="7" t="n"/>
    </row>
    <row r="40">
      <c r="A40" s="7" t="n"/>
      <c r="B40" s="7" t="n"/>
      <c r="C40" s="8" t="n"/>
      <c r="D40" s="7" t="n"/>
      <c r="E40" s="7" t="n"/>
      <c r="F40" s="7" t="b">
        <v>0</v>
      </c>
      <c r="G40" s="7" t="b">
        <v>0</v>
      </c>
      <c r="H40" s="7" t="b">
        <v>0</v>
      </c>
      <c r="I40" s="7" t="b">
        <v>0</v>
      </c>
      <c r="J40" s="8">
        <f>IF(C40="","",IF(E40="Pessoal",IF(D40="Eduardo",C40,0),IF(N40=0,"",IF(F40=TRUE,C40/N40,0))))</f>
        <v/>
      </c>
      <c r="K40" s="8">
        <f>IF(C40="","",IF(E40="Pessoal",IF(D40="Karina",C40,0),IF(N40=0,"",IF(G40=TRUE,C40/N40,0))))</f>
        <v/>
      </c>
      <c r="L40" s="8">
        <f>IF(C40="","",IF(E40="Pessoal",IF(D40="Bruno",C40,0),IF(N40=0,"",IF(H40=TRUE,C40/N40,0))))</f>
        <v/>
      </c>
      <c r="M40" s="8">
        <f>IF(C40="","",IF(E40="Pessoal",IF(D40="Gabriele",C40,0),IF(N40=0,"",IF(I40=TRUE,C40/N40,0))))</f>
        <v/>
      </c>
      <c r="N40" s="7">
        <f>IF(C40="","",IF(E40="Pessoal",1,COUNTIF(F40:I40,TRUE)))</f>
        <v/>
      </c>
      <c r="O40" s="7" t="n"/>
      <c r="P40" s="7" t="n"/>
    </row>
    <row r="41">
      <c r="A41" s="7" t="n"/>
      <c r="B41" s="7" t="n"/>
      <c r="C41" s="8" t="n"/>
      <c r="D41" s="7" t="n"/>
      <c r="E41" s="7" t="n"/>
      <c r="F41" s="7" t="b">
        <v>0</v>
      </c>
      <c r="G41" s="7" t="b">
        <v>0</v>
      </c>
      <c r="H41" s="7" t="b">
        <v>0</v>
      </c>
      <c r="I41" s="7" t="b">
        <v>0</v>
      </c>
      <c r="J41" s="8">
        <f>IF(C41="","",IF(E41="Pessoal",IF(D41="Eduardo",C41,0),IF(N41=0,"",IF(F41=TRUE,C41/N41,0))))</f>
        <v/>
      </c>
      <c r="K41" s="8">
        <f>IF(C41="","",IF(E41="Pessoal",IF(D41="Karina",C41,0),IF(N41=0,"",IF(G41=TRUE,C41/N41,0))))</f>
        <v/>
      </c>
      <c r="L41" s="8">
        <f>IF(C41="","",IF(E41="Pessoal",IF(D41="Bruno",C41,0),IF(N41=0,"",IF(H41=TRUE,C41/N41,0))))</f>
        <v/>
      </c>
      <c r="M41" s="8">
        <f>IF(C41="","",IF(E41="Pessoal",IF(D41="Gabriele",C41,0),IF(N41=0,"",IF(I41=TRUE,C41/N41,0))))</f>
        <v/>
      </c>
      <c r="N41" s="7">
        <f>IF(C41="","",IF(E41="Pessoal",1,COUNTIF(F41:I41,TRUE)))</f>
        <v/>
      </c>
      <c r="O41" s="7" t="n"/>
      <c r="P41" s="7" t="n"/>
    </row>
    <row r="42">
      <c r="A42" s="7" t="n"/>
      <c r="B42" s="7" t="n"/>
      <c r="C42" s="8" t="n"/>
      <c r="D42" s="7" t="n"/>
      <c r="E42" s="7" t="n"/>
      <c r="F42" s="7" t="b">
        <v>0</v>
      </c>
      <c r="G42" s="7" t="b">
        <v>0</v>
      </c>
      <c r="H42" s="7" t="b">
        <v>0</v>
      </c>
      <c r="I42" s="7" t="b">
        <v>0</v>
      </c>
      <c r="J42" s="8">
        <f>IF(C42="","",IF(E42="Pessoal",IF(D42="Eduardo",C42,0),IF(N42=0,"",IF(F42=TRUE,C42/N42,0))))</f>
        <v/>
      </c>
      <c r="K42" s="8">
        <f>IF(C42="","",IF(E42="Pessoal",IF(D42="Karina",C42,0),IF(N42=0,"",IF(G42=TRUE,C42/N42,0))))</f>
        <v/>
      </c>
      <c r="L42" s="8">
        <f>IF(C42="","",IF(E42="Pessoal",IF(D42="Bruno",C42,0),IF(N42=0,"",IF(H42=TRUE,C42/N42,0))))</f>
        <v/>
      </c>
      <c r="M42" s="8">
        <f>IF(C42="","",IF(E42="Pessoal",IF(D42="Gabriele",C42,0),IF(N42=0,"",IF(I42=TRUE,C42/N42,0))))</f>
        <v/>
      </c>
      <c r="N42" s="7">
        <f>IF(C42="","",IF(E42="Pessoal",1,COUNTIF(F42:I42,TRUE)))</f>
        <v/>
      </c>
      <c r="O42" s="7" t="n"/>
      <c r="P42" s="7" t="n"/>
    </row>
    <row r="43">
      <c r="A43" s="7" t="n"/>
      <c r="B43" s="7" t="n"/>
      <c r="C43" s="8" t="n"/>
      <c r="D43" s="7" t="n"/>
      <c r="E43" s="7" t="n"/>
      <c r="F43" s="7" t="b">
        <v>0</v>
      </c>
      <c r="G43" s="7" t="b">
        <v>0</v>
      </c>
      <c r="H43" s="7" t="b">
        <v>0</v>
      </c>
      <c r="I43" s="7" t="b">
        <v>0</v>
      </c>
      <c r="J43" s="8">
        <f>IF(C43="","",IF(E43="Pessoal",IF(D43="Eduardo",C43,0),IF(N43=0,"",IF(F43=TRUE,C43/N43,0))))</f>
        <v/>
      </c>
      <c r="K43" s="8">
        <f>IF(C43="","",IF(E43="Pessoal",IF(D43="Karina",C43,0),IF(N43=0,"",IF(G43=TRUE,C43/N43,0))))</f>
        <v/>
      </c>
      <c r="L43" s="8">
        <f>IF(C43="","",IF(E43="Pessoal",IF(D43="Bruno",C43,0),IF(N43=0,"",IF(H43=TRUE,C43/N43,0))))</f>
        <v/>
      </c>
      <c r="M43" s="8">
        <f>IF(C43="","",IF(E43="Pessoal",IF(D43="Gabriele",C43,0),IF(N43=0,"",IF(I43=TRUE,C43/N43,0))))</f>
        <v/>
      </c>
      <c r="N43" s="7">
        <f>IF(C43="","",IF(E43="Pessoal",1,COUNTIF(F43:I43,TRUE)))</f>
        <v/>
      </c>
      <c r="O43" s="7" t="n"/>
      <c r="P43" s="7" t="n"/>
    </row>
    <row r="44">
      <c r="A44" s="7" t="n"/>
      <c r="B44" s="7" t="n"/>
      <c r="C44" s="8" t="n"/>
      <c r="D44" s="7" t="n"/>
      <c r="E44" s="7" t="n"/>
      <c r="F44" s="7" t="b">
        <v>0</v>
      </c>
      <c r="G44" s="7" t="b">
        <v>0</v>
      </c>
      <c r="H44" s="7" t="b">
        <v>0</v>
      </c>
      <c r="I44" s="7" t="b">
        <v>0</v>
      </c>
      <c r="J44" s="8">
        <f>IF(C44="","",IF(E44="Pessoal",IF(D44="Eduardo",C44,0),IF(N44=0,"",IF(F44=TRUE,C44/N44,0))))</f>
        <v/>
      </c>
      <c r="K44" s="8">
        <f>IF(C44="","",IF(E44="Pessoal",IF(D44="Karina",C44,0),IF(N44=0,"",IF(G44=TRUE,C44/N44,0))))</f>
        <v/>
      </c>
      <c r="L44" s="8">
        <f>IF(C44="","",IF(E44="Pessoal",IF(D44="Bruno",C44,0),IF(N44=0,"",IF(H44=TRUE,C44/N44,0))))</f>
        <v/>
      </c>
      <c r="M44" s="8">
        <f>IF(C44="","",IF(E44="Pessoal",IF(D44="Gabriele",C44,0),IF(N44=0,"",IF(I44=TRUE,C44/N44,0))))</f>
        <v/>
      </c>
      <c r="N44" s="7">
        <f>IF(C44="","",IF(E44="Pessoal",1,COUNTIF(F44:I44,TRUE)))</f>
        <v/>
      </c>
      <c r="O44" s="7" t="n"/>
      <c r="P44" s="7" t="n"/>
    </row>
    <row r="45">
      <c r="A45" s="7" t="n"/>
      <c r="B45" s="7" t="n"/>
      <c r="C45" s="8" t="n"/>
      <c r="D45" s="7" t="n"/>
      <c r="E45" s="7" t="n"/>
      <c r="F45" s="7" t="b">
        <v>0</v>
      </c>
      <c r="G45" s="7" t="b">
        <v>0</v>
      </c>
      <c r="H45" s="7" t="b">
        <v>0</v>
      </c>
      <c r="I45" s="7" t="b">
        <v>0</v>
      </c>
      <c r="J45" s="8">
        <f>IF(C45="","",IF(E45="Pessoal",IF(D45="Eduardo",C45,0),IF(N45=0,"",IF(F45=TRUE,C45/N45,0))))</f>
        <v/>
      </c>
      <c r="K45" s="8">
        <f>IF(C45="","",IF(E45="Pessoal",IF(D45="Karina",C45,0),IF(N45=0,"",IF(G45=TRUE,C45/N45,0))))</f>
        <v/>
      </c>
      <c r="L45" s="8">
        <f>IF(C45="","",IF(E45="Pessoal",IF(D45="Bruno",C45,0),IF(N45=0,"",IF(H45=TRUE,C45/N45,0))))</f>
        <v/>
      </c>
      <c r="M45" s="8">
        <f>IF(C45="","",IF(E45="Pessoal",IF(D45="Gabriele",C45,0),IF(N45=0,"",IF(I45=TRUE,C45/N45,0))))</f>
        <v/>
      </c>
      <c r="N45" s="7">
        <f>IF(C45="","",IF(E45="Pessoal",1,COUNTIF(F45:I45,TRUE)))</f>
        <v/>
      </c>
      <c r="O45" s="7" t="n"/>
      <c r="P45" s="7" t="n"/>
    </row>
    <row r="46">
      <c r="A46" s="7" t="n"/>
      <c r="B46" s="7" t="n"/>
      <c r="C46" s="8" t="n"/>
      <c r="D46" s="7" t="n"/>
      <c r="E46" s="7" t="n"/>
      <c r="F46" s="7" t="b">
        <v>0</v>
      </c>
      <c r="G46" s="7" t="b">
        <v>0</v>
      </c>
      <c r="H46" s="7" t="b">
        <v>0</v>
      </c>
      <c r="I46" s="7" t="b">
        <v>0</v>
      </c>
      <c r="J46" s="8">
        <f>IF(C46="","",IF(E46="Pessoal",IF(D46="Eduardo",C46,0),IF(N46=0,"",IF(F46=TRUE,C46/N46,0))))</f>
        <v/>
      </c>
      <c r="K46" s="8">
        <f>IF(C46="","",IF(E46="Pessoal",IF(D46="Karina",C46,0),IF(N46=0,"",IF(G46=TRUE,C46/N46,0))))</f>
        <v/>
      </c>
      <c r="L46" s="8">
        <f>IF(C46="","",IF(E46="Pessoal",IF(D46="Bruno",C46,0),IF(N46=0,"",IF(H46=TRUE,C46/N46,0))))</f>
        <v/>
      </c>
      <c r="M46" s="8">
        <f>IF(C46="","",IF(E46="Pessoal",IF(D46="Gabriele",C46,0),IF(N46=0,"",IF(I46=TRUE,C46/N46,0))))</f>
        <v/>
      </c>
      <c r="N46" s="7">
        <f>IF(C46="","",IF(E46="Pessoal",1,COUNTIF(F46:I46,TRUE)))</f>
        <v/>
      </c>
      <c r="O46" s="7" t="n"/>
      <c r="P46" s="7" t="n"/>
    </row>
    <row r="47">
      <c r="A47" s="7" t="n"/>
      <c r="B47" s="7" t="n"/>
      <c r="C47" s="8" t="n"/>
      <c r="D47" s="7" t="n"/>
      <c r="E47" s="7" t="n"/>
      <c r="F47" s="7" t="b">
        <v>0</v>
      </c>
      <c r="G47" s="7" t="b">
        <v>0</v>
      </c>
      <c r="H47" s="7" t="b">
        <v>0</v>
      </c>
      <c r="I47" s="7" t="b">
        <v>0</v>
      </c>
      <c r="J47" s="8">
        <f>IF(C47="","",IF(E47="Pessoal",IF(D47="Eduardo",C47,0),IF(N47=0,"",IF(F47=TRUE,C47/N47,0))))</f>
        <v/>
      </c>
      <c r="K47" s="8">
        <f>IF(C47="","",IF(E47="Pessoal",IF(D47="Karina",C47,0),IF(N47=0,"",IF(G47=TRUE,C47/N47,0))))</f>
        <v/>
      </c>
      <c r="L47" s="8">
        <f>IF(C47="","",IF(E47="Pessoal",IF(D47="Bruno",C47,0),IF(N47=0,"",IF(H47=TRUE,C47/N47,0))))</f>
        <v/>
      </c>
      <c r="M47" s="8">
        <f>IF(C47="","",IF(E47="Pessoal",IF(D47="Gabriele",C47,0),IF(N47=0,"",IF(I47=TRUE,C47/N47,0))))</f>
        <v/>
      </c>
      <c r="N47" s="7">
        <f>IF(C47="","",IF(E47="Pessoal",1,COUNTIF(F47:I47,TRUE)))</f>
        <v/>
      </c>
      <c r="O47" s="7" t="n"/>
      <c r="P47" s="7" t="n"/>
    </row>
    <row r="48">
      <c r="A48" s="7" t="n"/>
      <c r="B48" s="7" t="n"/>
      <c r="C48" s="8" t="n"/>
      <c r="D48" s="7" t="n"/>
      <c r="E48" s="7" t="n"/>
      <c r="F48" s="7" t="b">
        <v>0</v>
      </c>
      <c r="G48" s="7" t="b">
        <v>0</v>
      </c>
      <c r="H48" s="7" t="b">
        <v>0</v>
      </c>
      <c r="I48" s="7" t="b">
        <v>0</v>
      </c>
      <c r="J48" s="8">
        <f>IF(C48="","",IF(E48="Pessoal",IF(D48="Eduardo",C48,0),IF(N48=0,"",IF(F48=TRUE,C48/N48,0))))</f>
        <v/>
      </c>
      <c r="K48" s="8">
        <f>IF(C48="","",IF(E48="Pessoal",IF(D48="Karina",C48,0),IF(N48=0,"",IF(G48=TRUE,C48/N48,0))))</f>
        <v/>
      </c>
      <c r="L48" s="8">
        <f>IF(C48="","",IF(E48="Pessoal",IF(D48="Bruno",C48,0),IF(N48=0,"",IF(H48=TRUE,C48/N48,0))))</f>
        <v/>
      </c>
      <c r="M48" s="8">
        <f>IF(C48="","",IF(E48="Pessoal",IF(D48="Gabriele",C48,0),IF(N48=0,"",IF(I48=TRUE,C48/N48,0))))</f>
        <v/>
      </c>
      <c r="N48" s="7">
        <f>IF(C48="","",IF(E48="Pessoal",1,COUNTIF(F48:I48,TRUE)))</f>
        <v/>
      </c>
      <c r="O48" s="7" t="n"/>
      <c r="P48" s="7" t="n"/>
    </row>
    <row r="49">
      <c r="A49" s="7" t="n"/>
      <c r="B49" s="7" t="n"/>
      <c r="C49" s="8" t="n"/>
      <c r="D49" s="7" t="n"/>
      <c r="E49" s="7" t="n"/>
      <c r="F49" s="7" t="b">
        <v>0</v>
      </c>
      <c r="G49" s="7" t="b">
        <v>0</v>
      </c>
      <c r="H49" s="7" t="b">
        <v>0</v>
      </c>
      <c r="I49" s="7" t="b">
        <v>0</v>
      </c>
      <c r="J49" s="8">
        <f>IF(C49="","",IF(E49="Pessoal",IF(D49="Eduardo",C49,0),IF(N49=0,"",IF(F49=TRUE,C49/N49,0))))</f>
        <v/>
      </c>
      <c r="K49" s="8">
        <f>IF(C49="","",IF(E49="Pessoal",IF(D49="Karina",C49,0),IF(N49=0,"",IF(G49=TRUE,C49/N49,0))))</f>
        <v/>
      </c>
      <c r="L49" s="8">
        <f>IF(C49="","",IF(E49="Pessoal",IF(D49="Bruno",C49,0),IF(N49=0,"",IF(H49=TRUE,C49/N49,0))))</f>
        <v/>
      </c>
      <c r="M49" s="8">
        <f>IF(C49="","",IF(E49="Pessoal",IF(D49="Gabriele",C49,0),IF(N49=0,"",IF(I49=TRUE,C49/N49,0))))</f>
        <v/>
      </c>
      <c r="N49" s="7">
        <f>IF(C49="","",IF(E49="Pessoal",1,COUNTIF(F49:I49,TRUE)))</f>
        <v/>
      </c>
      <c r="O49" s="7" t="n"/>
      <c r="P49" s="7" t="n"/>
    </row>
    <row r="50">
      <c r="A50" s="7" t="n"/>
      <c r="B50" s="7" t="n"/>
      <c r="C50" s="8" t="n"/>
      <c r="D50" s="7" t="n"/>
      <c r="E50" s="7" t="n"/>
      <c r="F50" s="7" t="b">
        <v>0</v>
      </c>
      <c r="G50" s="7" t="b">
        <v>0</v>
      </c>
      <c r="H50" s="7" t="b">
        <v>0</v>
      </c>
      <c r="I50" s="7" t="b">
        <v>0</v>
      </c>
      <c r="J50" s="8">
        <f>IF(C50="","",IF(E50="Pessoal",IF(D50="Eduardo",C50,0),IF(N50=0,"",IF(F50=TRUE,C50/N50,0))))</f>
        <v/>
      </c>
      <c r="K50" s="8">
        <f>IF(C50="","",IF(E50="Pessoal",IF(D50="Karina",C50,0),IF(N50=0,"",IF(G50=TRUE,C50/N50,0))))</f>
        <v/>
      </c>
      <c r="L50" s="8">
        <f>IF(C50="","",IF(E50="Pessoal",IF(D50="Bruno",C50,0),IF(N50=0,"",IF(H50=TRUE,C50/N50,0))))</f>
        <v/>
      </c>
      <c r="M50" s="8">
        <f>IF(C50="","",IF(E50="Pessoal",IF(D50="Gabriele",C50,0),IF(N50=0,"",IF(I50=TRUE,C50/N50,0))))</f>
        <v/>
      </c>
      <c r="N50" s="7">
        <f>IF(C50="","",IF(E50="Pessoal",1,COUNTIF(F50:I50,TRUE)))</f>
        <v/>
      </c>
      <c r="O50" s="7" t="n"/>
      <c r="P50" s="7" t="n"/>
    </row>
    <row r="51">
      <c r="A51" s="7" t="n"/>
      <c r="B51" s="7" t="n"/>
      <c r="C51" s="8" t="n"/>
      <c r="D51" s="7" t="n"/>
      <c r="E51" s="7" t="n"/>
      <c r="F51" s="7" t="b">
        <v>0</v>
      </c>
      <c r="G51" s="7" t="b">
        <v>0</v>
      </c>
      <c r="H51" s="7" t="b">
        <v>0</v>
      </c>
      <c r="I51" s="7" t="b">
        <v>0</v>
      </c>
      <c r="J51" s="8">
        <f>IF(C51="","",IF(E51="Pessoal",IF(D51="Eduardo",C51,0),IF(N51=0,"",IF(F51=TRUE,C51/N51,0))))</f>
        <v/>
      </c>
      <c r="K51" s="8">
        <f>IF(C51="","",IF(E51="Pessoal",IF(D51="Karina",C51,0),IF(N51=0,"",IF(G51=TRUE,C51/N51,0))))</f>
        <v/>
      </c>
      <c r="L51" s="8">
        <f>IF(C51="","",IF(E51="Pessoal",IF(D51="Bruno",C51,0),IF(N51=0,"",IF(H51=TRUE,C51/N51,0))))</f>
        <v/>
      </c>
      <c r="M51" s="8">
        <f>IF(C51="","",IF(E51="Pessoal",IF(D51="Gabriele",C51,0),IF(N51=0,"",IF(I51=TRUE,C51/N51,0))))</f>
        <v/>
      </c>
      <c r="N51" s="7">
        <f>IF(C51="","",IF(E51="Pessoal",1,COUNTIF(F51:I51,TRUE)))</f>
        <v/>
      </c>
      <c r="O51" s="7" t="n"/>
      <c r="P51" s="7" t="n"/>
    </row>
    <row r="52">
      <c r="A52" s="7" t="n"/>
      <c r="B52" s="7" t="n"/>
      <c r="C52" s="8" t="n"/>
      <c r="D52" s="7" t="n"/>
      <c r="E52" s="7" t="n"/>
      <c r="F52" s="7" t="b">
        <v>0</v>
      </c>
      <c r="G52" s="7" t="b">
        <v>0</v>
      </c>
      <c r="H52" s="7" t="b">
        <v>0</v>
      </c>
      <c r="I52" s="7" t="b">
        <v>0</v>
      </c>
      <c r="J52" s="8">
        <f>IF(C52="","",IF(E52="Pessoal",IF(D52="Eduardo",C52,0),IF(N52=0,"",IF(F52=TRUE,C52/N52,0))))</f>
        <v/>
      </c>
      <c r="K52" s="8">
        <f>IF(C52="","",IF(E52="Pessoal",IF(D52="Karina",C52,0),IF(N52=0,"",IF(G52=TRUE,C52/N52,0))))</f>
        <v/>
      </c>
      <c r="L52" s="8">
        <f>IF(C52="","",IF(E52="Pessoal",IF(D52="Bruno",C52,0),IF(N52=0,"",IF(H52=TRUE,C52/N52,0))))</f>
        <v/>
      </c>
      <c r="M52" s="8">
        <f>IF(C52="","",IF(E52="Pessoal",IF(D52="Gabriele",C52,0),IF(N52=0,"",IF(I52=TRUE,C52/N52,0))))</f>
        <v/>
      </c>
      <c r="N52" s="7">
        <f>IF(C52="","",IF(E52="Pessoal",1,COUNTIF(F52:I52,TRUE)))</f>
        <v/>
      </c>
      <c r="O52" s="7" t="n"/>
      <c r="P52" s="7" t="n"/>
    </row>
    <row r="53">
      <c r="A53" s="7" t="n"/>
      <c r="B53" s="7" t="n"/>
      <c r="C53" s="8" t="n"/>
      <c r="D53" s="7" t="n"/>
      <c r="E53" s="7" t="n"/>
      <c r="F53" s="7" t="b">
        <v>0</v>
      </c>
      <c r="G53" s="7" t="b">
        <v>0</v>
      </c>
      <c r="H53" s="7" t="b">
        <v>0</v>
      </c>
      <c r="I53" s="7" t="b">
        <v>0</v>
      </c>
      <c r="J53" s="8">
        <f>IF(C53="","",IF(E53="Pessoal",IF(D53="Eduardo",C53,0),IF(N53=0,"",IF(F53=TRUE,C53/N53,0))))</f>
        <v/>
      </c>
      <c r="K53" s="8">
        <f>IF(C53="","",IF(E53="Pessoal",IF(D53="Karina",C53,0),IF(N53=0,"",IF(G53=TRUE,C53/N53,0))))</f>
        <v/>
      </c>
      <c r="L53" s="8">
        <f>IF(C53="","",IF(E53="Pessoal",IF(D53="Bruno",C53,0),IF(N53=0,"",IF(H53=TRUE,C53/N53,0))))</f>
        <v/>
      </c>
      <c r="M53" s="8">
        <f>IF(C53="","",IF(E53="Pessoal",IF(D53="Gabriele",C53,0),IF(N53=0,"",IF(I53=TRUE,C53/N53,0))))</f>
        <v/>
      </c>
      <c r="N53" s="7">
        <f>IF(C53="","",IF(E53="Pessoal",1,COUNTIF(F53:I53,TRUE)))</f>
        <v/>
      </c>
      <c r="O53" s="7" t="n"/>
      <c r="P53" s="7" t="n"/>
    </row>
    <row r="54">
      <c r="A54" s="7" t="n"/>
      <c r="B54" s="7" t="n"/>
      <c r="C54" s="8" t="n"/>
      <c r="D54" s="7" t="n"/>
      <c r="E54" s="7" t="n"/>
      <c r="F54" s="7" t="b">
        <v>0</v>
      </c>
      <c r="G54" s="7" t="b">
        <v>0</v>
      </c>
      <c r="H54" s="7" t="b">
        <v>0</v>
      </c>
      <c r="I54" s="7" t="b">
        <v>0</v>
      </c>
      <c r="J54" s="8">
        <f>IF(C54="","",IF(E54="Pessoal",IF(D54="Eduardo",C54,0),IF(N54=0,"",IF(F54=TRUE,C54/N54,0))))</f>
        <v/>
      </c>
      <c r="K54" s="8">
        <f>IF(C54="","",IF(E54="Pessoal",IF(D54="Karina",C54,0),IF(N54=0,"",IF(G54=TRUE,C54/N54,0))))</f>
        <v/>
      </c>
      <c r="L54" s="8">
        <f>IF(C54="","",IF(E54="Pessoal",IF(D54="Bruno",C54,0),IF(N54=0,"",IF(H54=TRUE,C54/N54,0))))</f>
        <v/>
      </c>
      <c r="M54" s="8">
        <f>IF(C54="","",IF(E54="Pessoal",IF(D54="Gabriele",C54,0),IF(N54=0,"",IF(I54=TRUE,C54/N54,0))))</f>
        <v/>
      </c>
      <c r="N54" s="7">
        <f>IF(C54="","",IF(E54="Pessoal",1,COUNTIF(F54:I54,TRUE)))</f>
        <v/>
      </c>
      <c r="O54" s="7" t="n"/>
      <c r="P54" s="7" t="n"/>
    </row>
    <row r="55">
      <c r="A55" s="7" t="n"/>
      <c r="B55" s="7" t="n"/>
      <c r="C55" s="8" t="n"/>
      <c r="D55" s="7" t="n"/>
      <c r="E55" s="7" t="n"/>
      <c r="F55" s="7" t="b">
        <v>0</v>
      </c>
      <c r="G55" s="7" t="b">
        <v>0</v>
      </c>
      <c r="H55" s="7" t="b">
        <v>0</v>
      </c>
      <c r="I55" s="7" t="b">
        <v>0</v>
      </c>
      <c r="J55" s="8">
        <f>IF(C55="","",IF(E55="Pessoal",IF(D55="Eduardo",C55,0),IF(N55=0,"",IF(F55=TRUE,C55/N55,0))))</f>
        <v/>
      </c>
      <c r="K55" s="8">
        <f>IF(C55="","",IF(E55="Pessoal",IF(D55="Karina",C55,0),IF(N55=0,"",IF(G55=TRUE,C55/N55,0))))</f>
        <v/>
      </c>
      <c r="L55" s="8">
        <f>IF(C55="","",IF(E55="Pessoal",IF(D55="Bruno",C55,0),IF(N55=0,"",IF(H55=TRUE,C55/N55,0))))</f>
        <v/>
      </c>
      <c r="M55" s="8">
        <f>IF(C55="","",IF(E55="Pessoal",IF(D55="Gabriele",C55,0),IF(N55=0,"",IF(I55=TRUE,C55/N55,0))))</f>
        <v/>
      </c>
      <c r="N55" s="7">
        <f>IF(C55="","",IF(E55="Pessoal",1,COUNTIF(F55:I55,TRUE)))</f>
        <v/>
      </c>
      <c r="O55" s="7" t="n"/>
      <c r="P55" s="7" t="n"/>
    </row>
    <row r="56">
      <c r="A56" s="7" t="n"/>
      <c r="B56" s="7" t="n"/>
      <c r="C56" s="8" t="n"/>
      <c r="D56" s="7" t="n"/>
      <c r="E56" s="7" t="n"/>
      <c r="F56" s="7" t="b">
        <v>0</v>
      </c>
      <c r="G56" s="7" t="b">
        <v>0</v>
      </c>
      <c r="H56" s="7" t="b">
        <v>0</v>
      </c>
      <c r="I56" s="7" t="b">
        <v>0</v>
      </c>
      <c r="J56" s="8">
        <f>IF(C56="","",IF(E56="Pessoal",IF(D56="Eduardo",C56,0),IF(N56=0,"",IF(F56=TRUE,C56/N56,0))))</f>
        <v/>
      </c>
      <c r="K56" s="8">
        <f>IF(C56="","",IF(E56="Pessoal",IF(D56="Karina",C56,0),IF(N56=0,"",IF(G56=TRUE,C56/N56,0))))</f>
        <v/>
      </c>
      <c r="L56" s="8">
        <f>IF(C56="","",IF(E56="Pessoal",IF(D56="Bruno",C56,0),IF(N56=0,"",IF(H56=TRUE,C56/N56,0))))</f>
        <v/>
      </c>
      <c r="M56" s="8">
        <f>IF(C56="","",IF(E56="Pessoal",IF(D56="Gabriele",C56,0),IF(N56=0,"",IF(I56=TRUE,C56/N56,0))))</f>
        <v/>
      </c>
      <c r="N56" s="7">
        <f>IF(C56="","",IF(E56="Pessoal",1,COUNTIF(F56:I56,TRUE)))</f>
        <v/>
      </c>
      <c r="O56" s="7" t="n"/>
      <c r="P56" s="7" t="n"/>
    </row>
    <row r="57">
      <c r="A57" s="7" t="n"/>
      <c r="B57" s="7" t="n"/>
      <c r="C57" s="8" t="n"/>
      <c r="D57" s="7" t="n"/>
      <c r="E57" s="7" t="n"/>
      <c r="F57" s="7" t="b">
        <v>0</v>
      </c>
      <c r="G57" s="7" t="b">
        <v>0</v>
      </c>
      <c r="H57" s="7" t="b">
        <v>0</v>
      </c>
      <c r="I57" s="7" t="b">
        <v>0</v>
      </c>
      <c r="J57" s="8">
        <f>IF(C57="","",IF(E57="Pessoal",IF(D57="Eduardo",C57,0),IF(N57=0,"",IF(F57=TRUE,C57/N57,0))))</f>
        <v/>
      </c>
      <c r="K57" s="8">
        <f>IF(C57="","",IF(E57="Pessoal",IF(D57="Karina",C57,0),IF(N57=0,"",IF(G57=TRUE,C57/N57,0))))</f>
        <v/>
      </c>
      <c r="L57" s="8">
        <f>IF(C57="","",IF(E57="Pessoal",IF(D57="Bruno",C57,0),IF(N57=0,"",IF(H57=TRUE,C57/N57,0))))</f>
        <v/>
      </c>
      <c r="M57" s="8">
        <f>IF(C57="","",IF(E57="Pessoal",IF(D57="Gabriele",C57,0),IF(N57=0,"",IF(I57=TRUE,C57/N57,0))))</f>
        <v/>
      </c>
      <c r="N57" s="7">
        <f>IF(C57="","",IF(E57="Pessoal",1,COUNTIF(F57:I57,TRUE)))</f>
        <v/>
      </c>
      <c r="O57" s="7" t="n"/>
      <c r="P57" s="7" t="n"/>
    </row>
    <row r="58">
      <c r="A58" s="7" t="n"/>
      <c r="B58" s="7" t="n"/>
      <c r="C58" s="8" t="n"/>
      <c r="D58" s="7" t="n"/>
      <c r="E58" s="7" t="n"/>
      <c r="F58" s="7" t="b">
        <v>0</v>
      </c>
      <c r="G58" s="7" t="b">
        <v>0</v>
      </c>
      <c r="H58" s="7" t="b">
        <v>0</v>
      </c>
      <c r="I58" s="7" t="b">
        <v>0</v>
      </c>
      <c r="J58" s="8">
        <f>IF(C58="","",IF(E58="Pessoal",IF(D58="Eduardo",C58,0),IF(N58=0,"",IF(F58=TRUE,C58/N58,0))))</f>
        <v/>
      </c>
      <c r="K58" s="8">
        <f>IF(C58="","",IF(E58="Pessoal",IF(D58="Karina",C58,0),IF(N58=0,"",IF(G58=TRUE,C58/N58,0))))</f>
        <v/>
      </c>
      <c r="L58" s="8">
        <f>IF(C58="","",IF(E58="Pessoal",IF(D58="Bruno",C58,0),IF(N58=0,"",IF(H58=TRUE,C58/N58,0))))</f>
        <v/>
      </c>
      <c r="M58" s="8">
        <f>IF(C58="","",IF(E58="Pessoal",IF(D58="Gabriele",C58,0),IF(N58=0,"",IF(I58=TRUE,C58/N58,0))))</f>
        <v/>
      </c>
      <c r="N58" s="7">
        <f>IF(C58="","",IF(E58="Pessoal",1,COUNTIF(F58:I58,TRUE)))</f>
        <v/>
      </c>
      <c r="O58" s="7" t="n"/>
      <c r="P58" s="7" t="n"/>
    </row>
    <row r="59">
      <c r="A59" s="7" t="n"/>
      <c r="B59" s="7" t="n"/>
      <c r="C59" s="8" t="n"/>
      <c r="D59" s="7" t="n"/>
      <c r="E59" s="7" t="n"/>
      <c r="F59" s="7" t="b">
        <v>0</v>
      </c>
      <c r="G59" s="7" t="b">
        <v>0</v>
      </c>
      <c r="H59" s="7" t="b">
        <v>0</v>
      </c>
      <c r="I59" s="7" t="b">
        <v>0</v>
      </c>
      <c r="J59" s="8">
        <f>IF(C59="","",IF(E59="Pessoal",IF(D59="Eduardo",C59,0),IF(N59=0,"",IF(F59=TRUE,C59/N59,0))))</f>
        <v/>
      </c>
      <c r="K59" s="8">
        <f>IF(C59="","",IF(E59="Pessoal",IF(D59="Karina",C59,0),IF(N59=0,"",IF(G59=TRUE,C59/N59,0))))</f>
        <v/>
      </c>
      <c r="L59" s="8">
        <f>IF(C59="","",IF(E59="Pessoal",IF(D59="Bruno",C59,0),IF(N59=0,"",IF(H59=TRUE,C59/N59,0))))</f>
        <v/>
      </c>
      <c r="M59" s="8">
        <f>IF(C59="","",IF(E59="Pessoal",IF(D59="Gabriele",C59,0),IF(N59=0,"",IF(I59=TRUE,C59/N59,0))))</f>
        <v/>
      </c>
      <c r="N59" s="7">
        <f>IF(C59="","",IF(E59="Pessoal",1,COUNTIF(F59:I59,TRUE)))</f>
        <v/>
      </c>
      <c r="O59" s="7" t="n"/>
      <c r="P59" s="7" t="n"/>
    </row>
    <row r="60">
      <c r="A60" s="7" t="n"/>
      <c r="B60" s="7" t="n"/>
      <c r="C60" s="8" t="n"/>
      <c r="D60" s="7" t="n"/>
      <c r="E60" s="7" t="n"/>
      <c r="F60" s="7" t="b">
        <v>0</v>
      </c>
      <c r="G60" s="7" t="b">
        <v>0</v>
      </c>
      <c r="H60" s="7" t="b">
        <v>0</v>
      </c>
      <c r="I60" s="7" t="b">
        <v>0</v>
      </c>
      <c r="J60" s="8">
        <f>IF(C60="","",IF(E60="Pessoal",IF(D60="Eduardo",C60,0),IF(N60=0,"",IF(F60=TRUE,C60/N60,0))))</f>
        <v/>
      </c>
      <c r="K60" s="8">
        <f>IF(C60="","",IF(E60="Pessoal",IF(D60="Karina",C60,0),IF(N60=0,"",IF(G60=TRUE,C60/N60,0))))</f>
        <v/>
      </c>
      <c r="L60" s="8">
        <f>IF(C60="","",IF(E60="Pessoal",IF(D60="Bruno",C60,0),IF(N60=0,"",IF(H60=TRUE,C60/N60,0))))</f>
        <v/>
      </c>
      <c r="M60" s="8">
        <f>IF(C60="","",IF(E60="Pessoal",IF(D60="Gabriele",C60,0),IF(N60=0,"",IF(I60=TRUE,C60/N60,0))))</f>
        <v/>
      </c>
      <c r="N60" s="7">
        <f>IF(C60="","",IF(E60="Pessoal",1,COUNTIF(F60:I60,TRUE)))</f>
        <v/>
      </c>
      <c r="O60" s="7" t="n"/>
      <c r="P60" s="7" t="n"/>
    </row>
    <row r="61">
      <c r="A61" s="7" t="n"/>
      <c r="B61" s="7" t="n"/>
      <c r="C61" s="8" t="n"/>
      <c r="D61" s="7" t="n"/>
      <c r="E61" s="7" t="n"/>
      <c r="F61" s="7" t="b">
        <v>0</v>
      </c>
      <c r="G61" s="7" t="b">
        <v>0</v>
      </c>
      <c r="H61" s="7" t="b">
        <v>0</v>
      </c>
      <c r="I61" s="7" t="b">
        <v>0</v>
      </c>
      <c r="J61" s="8">
        <f>IF(C61="","",IF(E61="Pessoal",IF(D61="Eduardo",C61,0),IF(N61=0,"",IF(F61=TRUE,C61/N61,0))))</f>
        <v/>
      </c>
      <c r="K61" s="8">
        <f>IF(C61="","",IF(E61="Pessoal",IF(D61="Karina",C61,0),IF(N61=0,"",IF(G61=TRUE,C61/N61,0))))</f>
        <v/>
      </c>
      <c r="L61" s="8">
        <f>IF(C61="","",IF(E61="Pessoal",IF(D61="Bruno",C61,0),IF(N61=0,"",IF(H61=TRUE,C61/N61,0))))</f>
        <v/>
      </c>
      <c r="M61" s="8">
        <f>IF(C61="","",IF(E61="Pessoal",IF(D61="Gabriele",C61,0),IF(N61=0,"",IF(I61=TRUE,C61/N61,0))))</f>
        <v/>
      </c>
      <c r="N61" s="7">
        <f>IF(C61="","",IF(E61="Pessoal",1,COUNTIF(F61:I61,TRUE)))</f>
        <v/>
      </c>
      <c r="O61" s="7" t="n"/>
      <c r="P61" s="7" t="n"/>
    </row>
    <row r="62">
      <c r="A62" s="7" t="n"/>
      <c r="B62" s="7" t="n"/>
      <c r="C62" s="8" t="n"/>
      <c r="D62" s="7" t="n"/>
      <c r="E62" s="7" t="n"/>
      <c r="F62" s="7" t="b">
        <v>0</v>
      </c>
      <c r="G62" s="7" t="b">
        <v>0</v>
      </c>
      <c r="H62" s="7" t="b">
        <v>0</v>
      </c>
      <c r="I62" s="7" t="b">
        <v>0</v>
      </c>
      <c r="J62" s="8">
        <f>IF(C62="","",IF(E62="Pessoal",IF(D62="Eduardo",C62,0),IF(N62=0,"",IF(F62=TRUE,C62/N62,0))))</f>
        <v/>
      </c>
      <c r="K62" s="8">
        <f>IF(C62="","",IF(E62="Pessoal",IF(D62="Karina",C62,0),IF(N62=0,"",IF(G62=TRUE,C62/N62,0))))</f>
        <v/>
      </c>
      <c r="L62" s="8">
        <f>IF(C62="","",IF(E62="Pessoal",IF(D62="Bruno",C62,0),IF(N62=0,"",IF(H62=TRUE,C62/N62,0))))</f>
        <v/>
      </c>
      <c r="M62" s="8">
        <f>IF(C62="","",IF(E62="Pessoal",IF(D62="Gabriele",C62,0),IF(N62=0,"",IF(I62=TRUE,C62/N62,0))))</f>
        <v/>
      </c>
      <c r="N62" s="7">
        <f>IF(C62="","",IF(E62="Pessoal",1,COUNTIF(F62:I62,TRUE)))</f>
        <v/>
      </c>
      <c r="O62" s="7" t="n"/>
      <c r="P62" s="7" t="n"/>
    </row>
    <row r="63">
      <c r="A63" s="7" t="n"/>
      <c r="B63" s="7" t="n"/>
      <c r="C63" s="8" t="n"/>
      <c r="D63" s="7" t="n"/>
      <c r="E63" s="7" t="n"/>
      <c r="F63" s="7" t="b">
        <v>0</v>
      </c>
      <c r="G63" s="7" t="b">
        <v>0</v>
      </c>
      <c r="H63" s="7" t="b">
        <v>0</v>
      </c>
      <c r="I63" s="7" t="b">
        <v>0</v>
      </c>
      <c r="J63" s="8">
        <f>IF(C63="","",IF(E63="Pessoal",IF(D63="Eduardo",C63,0),IF(N63=0,"",IF(F63=TRUE,C63/N63,0))))</f>
        <v/>
      </c>
      <c r="K63" s="8">
        <f>IF(C63="","",IF(E63="Pessoal",IF(D63="Karina",C63,0),IF(N63=0,"",IF(G63=TRUE,C63/N63,0))))</f>
        <v/>
      </c>
      <c r="L63" s="8">
        <f>IF(C63="","",IF(E63="Pessoal",IF(D63="Bruno",C63,0),IF(N63=0,"",IF(H63=TRUE,C63/N63,0))))</f>
        <v/>
      </c>
      <c r="M63" s="8">
        <f>IF(C63="","",IF(E63="Pessoal",IF(D63="Gabriele",C63,0),IF(N63=0,"",IF(I63=TRUE,C63/N63,0))))</f>
        <v/>
      </c>
      <c r="N63" s="7">
        <f>IF(C63="","",IF(E63="Pessoal",1,COUNTIF(F63:I63,TRUE)))</f>
        <v/>
      </c>
      <c r="O63" s="7" t="n"/>
      <c r="P63" s="7" t="n"/>
    </row>
    <row r="64">
      <c r="A64" s="7" t="n"/>
      <c r="B64" s="7" t="n"/>
      <c r="C64" s="8" t="n"/>
      <c r="D64" s="7" t="n"/>
      <c r="E64" s="7" t="n"/>
      <c r="F64" s="7" t="b">
        <v>0</v>
      </c>
      <c r="G64" s="7" t="b">
        <v>0</v>
      </c>
      <c r="H64" s="7" t="b">
        <v>0</v>
      </c>
      <c r="I64" s="7" t="b">
        <v>0</v>
      </c>
      <c r="J64" s="8">
        <f>IF(C64="","",IF(E64="Pessoal",IF(D64="Eduardo",C64,0),IF(N64=0,"",IF(F64=TRUE,C64/N64,0))))</f>
        <v/>
      </c>
      <c r="K64" s="8">
        <f>IF(C64="","",IF(E64="Pessoal",IF(D64="Karina",C64,0),IF(N64=0,"",IF(G64=TRUE,C64/N64,0))))</f>
        <v/>
      </c>
      <c r="L64" s="8">
        <f>IF(C64="","",IF(E64="Pessoal",IF(D64="Bruno",C64,0),IF(N64=0,"",IF(H64=TRUE,C64/N64,0))))</f>
        <v/>
      </c>
      <c r="M64" s="8">
        <f>IF(C64="","",IF(E64="Pessoal",IF(D64="Gabriele",C64,0),IF(N64=0,"",IF(I64=TRUE,C64/N64,0))))</f>
        <v/>
      </c>
      <c r="N64" s="7">
        <f>IF(C64="","",IF(E64="Pessoal",1,COUNTIF(F64:I64,TRUE)))</f>
        <v/>
      </c>
      <c r="O64" s="7" t="n"/>
      <c r="P64" s="7" t="n"/>
    </row>
    <row r="65">
      <c r="A65" s="7" t="n"/>
      <c r="B65" s="7" t="n"/>
      <c r="C65" s="8" t="n"/>
      <c r="D65" s="7" t="n"/>
      <c r="E65" s="7" t="n"/>
      <c r="F65" s="7" t="b">
        <v>0</v>
      </c>
      <c r="G65" s="7" t="b">
        <v>0</v>
      </c>
      <c r="H65" s="7" t="b">
        <v>0</v>
      </c>
      <c r="I65" s="7" t="b">
        <v>0</v>
      </c>
      <c r="J65" s="8">
        <f>IF(C65="","",IF(E65="Pessoal",IF(D65="Eduardo",C65,0),IF(N65=0,"",IF(F65=TRUE,C65/N65,0))))</f>
        <v/>
      </c>
      <c r="K65" s="8">
        <f>IF(C65="","",IF(E65="Pessoal",IF(D65="Karina",C65,0),IF(N65=0,"",IF(G65=TRUE,C65/N65,0))))</f>
        <v/>
      </c>
      <c r="L65" s="8">
        <f>IF(C65="","",IF(E65="Pessoal",IF(D65="Bruno",C65,0),IF(N65=0,"",IF(H65=TRUE,C65/N65,0))))</f>
        <v/>
      </c>
      <c r="M65" s="8">
        <f>IF(C65="","",IF(E65="Pessoal",IF(D65="Gabriele",C65,0),IF(N65=0,"",IF(I65=TRUE,C65/N65,0))))</f>
        <v/>
      </c>
      <c r="N65" s="7">
        <f>IF(C65="","",IF(E65="Pessoal",1,COUNTIF(F65:I65,TRUE)))</f>
        <v/>
      </c>
      <c r="O65" s="7" t="n"/>
      <c r="P65" s="7" t="n"/>
    </row>
    <row r="66">
      <c r="A66" s="7" t="n"/>
      <c r="B66" s="7" t="n"/>
      <c r="C66" s="8" t="n"/>
      <c r="D66" s="7" t="n"/>
      <c r="E66" s="7" t="n"/>
      <c r="F66" s="7" t="b">
        <v>0</v>
      </c>
      <c r="G66" s="7" t="b">
        <v>0</v>
      </c>
      <c r="H66" s="7" t="b">
        <v>0</v>
      </c>
      <c r="I66" s="7" t="b">
        <v>0</v>
      </c>
      <c r="J66" s="8">
        <f>IF(C66="","",IF(E66="Pessoal",IF(D66="Eduardo",C66,0),IF(N66=0,"",IF(F66=TRUE,C66/N66,0))))</f>
        <v/>
      </c>
      <c r="K66" s="8">
        <f>IF(C66="","",IF(E66="Pessoal",IF(D66="Karina",C66,0),IF(N66=0,"",IF(G66=TRUE,C66/N66,0))))</f>
        <v/>
      </c>
      <c r="L66" s="8">
        <f>IF(C66="","",IF(E66="Pessoal",IF(D66="Bruno",C66,0),IF(N66=0,"",IF(H66=TRUE,C66/N66,0))))</f>
        <v/>
      </c>
      <c r="M66" s="8">
        <f>IF(C66="","",IF(E66="Pessoal",IF(D66="Gabriele",C66,0),IF(N66=0,"",IF(I66=TRUE,C66/N66,0))))</f>
        <v/>
      </c>
      <c r="N66" s="7">
        <f>IF(C66="","",IF(E66="Pessoal",1,COUNTIF(F66:I66,TRUE)))</f>
        <v/>
      </c>
      <c r="O66" s="7" t="n"/>
      <c r="P66" s="7" t="n"/>
    </row>
    <row r="67">
      <c r="A67" s="7" t="n"/>
      <c r="B67" s="7" t="n"/>
      <c r="C67" s="8" t="n"/>
      <c r="D67" s="7" t="n"/>
      <c r="E67" s="7" t="n"/>
      <c r="F67" s="7" t="b">
        <v>0</v>
      </c>
      <c r="G67" s="7" t="b">
        <v>0</v>
      </c>
      <c r="H67" s="7" t="b">
        <v>0</v>
      </c>
      <c r="I67" s="7" t="b">
        <v>0</v>
      </c>
      <c r="J67" s="8">
        <f>IF(C67="","",IF(E67="Pessoal",IF(D67="Eduardo",C67,0),IF(N67=0,"",IF(F67=TRUE,C67/N67,0))))</f>
        <v/>
      </c>
      <c r="K67" s="8">
        <f>IF(C67="","",IF(E67="Pessoal",IF(D67="Karina",C67,0),IF(N67=0,"",IF(G67=TRUE,C67/N67,0))))</f>
        <v/>
      </c>
      <c r="L67" s="8">
        <f>IF(C67="","",IF(E67="Pessoal",IF(D67="Bruno",C67,0),IF(N67=0,"",IF(H67=TRUE,C67/N67,0))))</f>
        <v/>
      </c>
      <c r="M67" s="8">
        <f>IF(C67="","",IF(E67="Pessoal",IF(D67="Gabriele",C67,0),IF(N67=0,"",IF(I67=TRUE,C67/N67,0))))</f>
        <v/>
      </c>
      <c r="N67" s="7">
        <f>IF(C67="","",IF(E67="Pessoal",1,COUNTIF(F67:I67,TRUE)))</f>
        <v/>
      </c>
      <c r="O67" s="7" t="n"/>
      <c r="P67" s="7" t="n"/>
    </row>
    <row r="68">
      <c r="A68" s="7" t="n"/>
      <c r="B68" s="7" t="n"/>
      <c r="C68" s="8" t="n"/>
      <c r="D68" s="7" t="n"/>
      <c r="E68" s="7" t="n"/>
      <c r="F68" s="7" t="b">
        <v>0</v>
      </c>
      <c r="G68" s="7" t="b">
        <v>0</v>
      </c>
      <c r="H68" s="7" t="b">
        <v>0</v>
      </c>
      <c r="I68" s="7" t="b">
        <v>0</v>
      </c>
      <c r="J68" s="8">
        <f>IF(C68="","",IF(E68="Pessoal",IF(D68="Eduardo",C68,0),IF(N68=0,"",IF(F68=TRUE,C68/N68,0))))</f>
        <v/>
      </c>
      <c r="K68" s="8">
        <f>IF(C68="","",IF(E68="Pessoal",IF(D68="Karina",C68,0),IF(N68=0,"",IF(G68=TRUE,C68/N68,0))))</f>
        <v/>
      </c>
      <c r="L68" s="8">
        <f>IF(C68="","",IF(E68="Pessoal",IF(D68="Bruno",C68,0),IF(N68=0,"",IF(H68=TRUE,C68/N68,0))))</f>
        <v/>
      </c>
      <c r="M68" s="8">
        <f>IF(C68="","",IF(E68="Pessoal",IF(D68="Gabriele",C68,0),IF(N68=0,"",IF(I68=TRUE,C68/N68,0))))</f>
        <v/>
      </c>
      <c r="N68" s="7">
        <f>IF(C68="","",IF(E68="Pessoal",1,COUNTIF(F68:I68,TRUE)))</f>
        <v/>
      </c>
      <c r="O68" s="7" t="n"/>
      <c r="P68" s="7" t="n"/>
    </row>
    <row r="69">
      <c r="A69" s="7" t="n"/>
      <c r="B69" s="7" t="n"/>
      <c r="C69" s="8" t="n"/>
      <c r="D69" s="7" t="n"/>
      <c r="E69" s="7" t="n"/>
      <c r="F69" s="7" t="b">
        <v>0</v>
      </c>
      <c r="G69" s="7" t="b">
        <v>0</v>
      </c>
      <c r="H69" s="7" t="b">
        <v>0</v>
      </c>
      <c r="I69" s="7" t="b">
        <v>0</v>
      </c>
      <c r="J69" s="8">
        <f>IF(C69="","",IF(E69="Pessoal",IF(D69="Eduardo",C69,0),IF(N69=0,"",IF(F69=TRUE,C69/N69,0))))</f>
        <v/>
      </c>
      <c r="K69" s="8">
        <f>IF(C69="","",IF(E69="Pessoal",IF(D69="Karina",C69,0),IF(N69=0,"",IF(G69=TRUE,C69/N69,0))))</f>
        <v/>
      </c>
      <c r="L69" s="8">
        <f>IF(C69="","",IF(E69="Pessoal",IF(D69="Bruno",C69,0),IF(N69=0,"",IF(H69=TRUE,C69/N69,0))))</f>
        <v/>
      </c>
      <c r="M69" s="8">
        <f>IF(C69="","",IF(E69="Pessoal",IF(D69="Gabriele",C69,0),IF(N69=0,"",IF(I69=TRUE,C69/N69,0))))</f>
        <v/>
      </c>
      <c r="N69" s="7">
        <f>IF(C69="","",IF(E69="Pessoal",1,COUNTIF(F69:I69,TRUE)))</f>
        <v/>
      </c>
      <c r="O69" s="7" t="n"/>
      <c r="P69" s="7" t="n"/>
    </row>
    <row r="70">
      <c r="A70" s="7" t="n"/>
      <c r="B70" s="7" t="n"/>
      <c r="C70" s="8" t="n"/>
      <c r="D70" s="7" t="n"/>
      <c r="E70" s="7" t="n"/>
      <c r="F70" s="7" t="b">
        <v>0</v>
      </c>
      <c r="G70" s="7" t="b">
        <v>0</v>
      </c>
      <c r="H70" s="7" t="b">
        <v>0</v>
      </c>
      <c r="I70" s="7" t="b">
        <v>0</v>
      </c>
      <c r="J70" s="8">
        <f>IF(C70="","",IF(E70="Pessoal",IF(D70="Eduardo",C70,0),IF(N70=0,"",IF(F70=TRUE,C70/N70,0))))</f>
        <v/>
      </c>
      <c r="K70" s="8">
        <f>IF(C70="","",IF(E70="Pessoal",IF(D70="Karina",C70,0),IF(N70=0,"",IF(G70=TRUE,C70/N70,0))))</f>
        <v/>
      </c>
      <c r="L70" s="8">
        <f>IF(C70="","",IF(E70="Pessoal",IF(D70="Bruno",C70,0),IF(N70=0,"",IF(H70=TRUE,C70/N70,0))))</f>
        <v/>
      </c>
      <c r="M70" s="8">
        <f>IF(C70="","",IF(E70="Pessoal",IF(D70="Gabriele",C70,0),IF(N70=0,"",IF(I70=TRUE,C70/N70,0))))</f>
        <v/>
      </c>
      <c r="N70" s="7">
        <f>IF(C70="","",IF(E70="Pessoal",1,COUNTIF(F70:I70,TRUE)))</f>
        <v/>
      </c>
      <c r="O70" s="7" t="n"/>
      <c r="P70" s="7" t="n"/>
    </row>
    <row r="71">
      <c r="A71" s="7" t="n"/>
      <c r="B71" s="7" t="n"/>
      <c r="C71" s="8" t="n"/>
      <c r="D71" s="7" t="n"/>
      <c r="E71" s="7" t="n"/>
      <c r="F71" s="7" t="b">
        <v>0</v>
      </c>
      <c r="G71" s="7" t="b">
        <v>0</v>
      </c>
      <c r="H71" s="7" t="b">
        <v>0</v>
      </c>
      <c r="I71" s="7" t="b">
        <v>0</v>
      </c>
      <c r="J71" s="8">
        <f>IF(C71="","",IF(E71="Pessoal",IF(D71="Eduardo",C71,0),IF(N71=0,"",IF(F71=TRUE,C71/N71,0))))</f>
        <v/>
      </c>
      <c r="K71" s="8">
        <f>IF(C71="","",IF(E71="Pessoal",IF(D71="Karina",C71,0),IF(N71=0,"",IF(G71=TRUE,C71/N71,0))))</f>
        <v/>
      </c>
      <c r="L71" s="8">
        <f>IF(C71="","",IF(E71="Pessoal",IF(D71="Bruno",C71,0),IF(N71=0,"",IF(H71=TRUE,C71/N71,0))))</f>
        <v/>
      </c>
      <c r="M71" s="8">
        <f>IF(C71="","",IF(E71="Pessoal",IF(D71="Gabriele",C71,0),IF(N71=0,"",IF(I71=TRUE,C71/N71,0))))</f>
        <v/>
      </c>
      <c r="N71" s="7">
        <f>IF(C71="","",IF(E71="Pessoal",1,COUNTIF(F71:I71,TRUE)))</f>
        <v/>
      </c>
      <c r="O71" s="7" t="n"/>
      <c r="P71" s="7" t="n"/>
    </row>
    <row r="72">
      <c r="A72" s="7" t="n"/>
      <c r="B72" s="7" t="n"/>
      <c r="C72" s="8" t="n"/>
      <c r="D72" s="7" t="n"/>
      <c r="E72" s="7" t="n"/>
      <c r="F72" s="7" t="b">
        <v>0</v>
      </c>
      <c r="G72" s="7" t="b">
        <v>0</v>
      </c>
      <c r="H72" s="7" t="b">
        <v>0</v>
      </c>
      <c r="I72" s="7" t="b">
        <v>0</v>
      </c>
      <c r="J72" s="8">
        <f>IF(C72="","",IF(E72="Pessoal",IF(D72="Eduardo",C72,0),IF(N72=0,"",IF(F72=TRUE,C72/N72,0))))</f>
        <v/>
      </c>
      <c r="K72" s="8">
        <f>IF(C72="","",IF(E72="Pessoal",IF(D72="Karina",C72,0),IF(N72=0,"",IF(G72=TRUE,C72/N72,0))))</f>
        <v/>
      </c>
      <c r="L72" s="8">
        <f>IF(C72="","",IF(E72="Pessoal",IF(D72="Bruno",C72,0),IF(N72=0,"",IF(H72=TRUE,C72/N72,0))))</f>
        <v/>
      </c>
      <c r="M72" s="8">
        <f>IF(C72="","",IF(E72="Pessoal",IF(D72="Gabriele",C72,0),IF(N72=0,"",IF(I72=TRUE,C72/N72,0))))</f>
        <v/>
      </c>
      <c r="N72" s="7">
        <f>IF(C72="","",IF(E72="Pessoal",1,COUNTIF(F72:I72,TRUE)))</f>
        <v/>
      </c>
      <c r="O72" s="7" t="n"/>
      <c r="P72" s="7" t="n"/>
    </row>
    <row r="73">
      <c r="A73" s="7" t="n"/>
      <c r="B73" s="7" t="n"/>
      <c r="C73" s="8" t="n"/>
      <c r="D73" s="7" t="n"/>
      <c r="E73" s="7" t="n"/>
      <c r="F73" s="7" t="b">
        <v>0</v>
      </c>
      <c r="G73" s="7" t="b">
        <v>0</v>
      </c>
      <c r="H73" s="7" t="b">
        <v>0</v>
      </c>
      <c r="I73" s="7" t="b">
        <v>0</v>
      </c>
      <c r="J73" s="8">
        <f>IF(C73="","",IF(E73="Pessoal",IF(D73="Eduardo",C73,0),IF(N73=0,"",IF(F73=TRUE,C73/N73,0))))</f>
        <v/>
      </c>
      <c r="K73" s="8">
        <f>IF(C73="","",IF(E73="Pessoal",IF(D73="Karina",C73,0),IF(N73=0,"",IF(G73=TRUE,C73/N73,0))))</f>
        <v/>
      </c>
      <c r="L73" s="8">
        <f>IF(C73="","",IF(E73="Pessoal",IF(D73="Bruno",C73,0),IF(N73=0,"",IF(H73=TRUE,C73/N73,0))))</f>
        <v/>
      </c>
      <c r="M73" s="8">
        <f>IF(C73="","",IF(E73="Pessoal",IF(D73="Gabriele",C73,0),IF(N73=0,"",IF(I73=TRUE,C73/N73,0))))</f>
        <v/>
      </c>
      <c r="N73" s="7">
        <f>IF(C73="","",IF(E73="Pessoal",1,COUNTIF(F73:I73,TRUE)))</f>
        <v/>
      </c>
      <c r="O73" s="7" t="n"/>
      <c r="P73" s="7" t="n"/>
    </row>
    <row r="74">
      <c r="A74" s="7" t="n"/>
      <c r="B74" s="7" t="n"/>
      <c r="C74" s="8" t="n"/>
      <c r="D74" s="7" t="n"/>
      <c r="E74" s="7" t="n"/>
      <c r="F74" s="7" t="b">
        <v>0</v>
      </c>
      <c r="G74" s="7" t="b">
        <v>0</v>
      </c>
      <c r="H74" s="7" t="b">
        <v>0</v>
      </c>
      <c r="I74" s="7" t="b">
        <v>0</v>
      </c>
      <c r="J74" s="8">
        <f>IF(C74="","",IF(E74="Pessoal",IF(D74="Eduardo",C74,0),IF(N74=0,"",IF(F74=TRUE,C74/N74,0))))</f>
        <v/>
      </c>
      <c r="K74" s="8">
        <f>IF(C74="","",IF(E74="Pessoal",IF(D74="Karina",C74,0),IF(N74=0,"",IF(G74=TRUE,C74/N74,0))))</f>
        <v/>
      </c>
      <c r="L74" s="8">
        <f>IF(C74="","",IF(E74="Pessoal",IF(D74="Bruno",C74,0),IF(N74=0,"",IF(H74=TRUE,C74/N74,0))))</f>
        <v/>
      </c>
      <c r="M74" s="8">
        <f>IF(C74="","",IF(E74="Pessoal",IF(D74="Gabriele",C74,0),IF(N74=0,"",IF(I74=TRUE,C74/N74,0))))</f>
        <v/>
      </c>
      <c r="N74" s="7">
        <f>IF(C74="","",IF(E74="Pessoal",1,COUNTIF(F74:I74,TRUE)))</f>
        <v/>
      </c>
      <c r="O74" s="7" t="n"/>
      <c r="P74" s="7" t="n"/>
    </row>
    <row r="75">
      <c r="A75" s="7" t="n"/>
      <c r="B75" s="7" t="n"/>
      <c r="C75" s="8" t="n"/>
      <c r="D75" s="7" t="n"/>
      <c r="E75" s="7" t="n"/>
      <c r="F75" s="7" t="b">
        <v>0</v>
      </c>
      <c r="G75" s="7" t="b">
        <v>0</v>
      </c>
      <c r="H75" s="7" t="b">
        <v>0</v>
      </c>
      <c r="I75" s="7" t="b">
        <v>0</v>
      </c>
      <c r="J75" s="8">
        <f>IF(C75="","",IF(E75="Pessoal",IF(D75="Eduardo",C75,0),IF(N75=0,"",IF(F75=TRUE,C75/N75,0))))</f>
        <v/>
      </c>
      <c r="K75" s="8">
        <f>IF(C75="","",IF(E75="Pessoal",IF(D75="Karina",C75,0),IF(N75=0,"",IF(G75=TRUE,C75/N75,0))))</f>
        <v/>
      </c>
      <c r="L75" s="8">
        <f>IF(C75="","",IF(E75="Pessoal",IF(D75="Bruno",C75,0),IF(N75=0,"",IF(H75=TRUE,C75/N75,0))))</f>
        <v/>
      </c>
      <c r="M75" s="8">
        <f>IF(C75="","",IF(E75="Pessoal",IF(D75="Gabriele",C75,0),IF(N75=0,"",IF(I75=TRUE,C75/N75,0))))</f>
        <v/>
      </c>
      <c r="N75" s="7">
        <f>IF(C75="","",IF(E75="Pessoal",1,COUNTIF(F75:I75,TRUE)))</f>
        <v/>
      </c>
      <c r="O75" s="7" t="n"/>
      <c r="P75" s="7" t="n"/>
    </row>
    <row r="76">
      <c r="A76" s="7" t="n"/>
      <c r="B76" s="7" t="n"/>
      <c r="C76" s="8" t="n"/>
      <c r="D76" s="7" t="n"/>
      <c r="E76" s="7" t="n"/>
      <c r="F76" s="7" t="b">
        <v>0</v>
      </c>
      <c r="G76" s="7" t="b">
        <v>0</v>
      </c>
      <c r="H76" s="7" t="b">
        <v>0</v>
      </c>
      <c r="I76" s="7" t="b">
        <v>0</v>
      </c>
      <c r="J76" s="8">
        <f>IF(C76="","",IF(E76="Pessoal",IF(D76="Eduardo",C76,0),IF(N76=0,"",IF(F76=TRUE,C76/N76,0))))</f>
        <v/>
      </c>
      <c r="K76" s="8">
        <f>IF(C76="","",IF(E76="Pessoal",IF(D76="Karina",C76,0),IF(N76=0,"",IF(G76=TRUE,C76/N76,0))))</f>
        <v/>
      </c>
      <c r="L76" s="8">
        <f>IF(C76="","",IF(E76="Pessoal",IF(D76="Bruno",C76,0),IF(N76=0,"",IF(H76=TRUE,C76/N76,0))))</f>
        <v/>
      </c>
      <c r="M76" s="8">
        <f>IF(C76="","",IF(E76="Pessoal",IF(D76="Gabriele",C76,0),IF(N76=0,"",IF(I76=TRUE,C76/N76,0))))</f>
        <v/>
      </c>
      <c r="N76" s="7">
        <f>IF(C76="","",IF(E76="Pessoal",1,COUNTIF(F76:I76,TRUE)))</f>
        <v/>
      </c>
      <c r="O76" s="7" t="n"/>
      <c r="P76" s="7" t="n"/>
    </row>
    <row r="77">
      <c r="A77" s="7" t="n"/>
      <c r="B77" s="7" t="n"/>
      <c r="C77" s="8" t="n"/>
      <c r="D77" s="7" t="n"/>
      <c r="E77" s="7" t="n"/>
      <c r="F77" s="7" t="b">
        <v>0</v>
      </c>
      <c r="G77" s="7" t="b">
        <v>0</v>
      </c>
      <c r="H77" s="7" t="b">
        <v>0</v>
      </c>
      <c r="I77" s="7" t="b">
        <v>0</v>
      </c>
      <c r="J77" s="8">
        <f>IF(C77="","",IF(E77="Pessoal",IF(D77="Eduardo",C77,0),IF(N77=0,"",IF(F77=TRUE,C77/N77,0))))</f>
        <v/>
      </c>
      <c r="K77" s="8">
        <f>IF(C77="","",IF(E77="Pessoal",IF(D77="Karina",C77,0),IF(N77=0,"",IF(G77=TRUE,C77/N77,0))))</f>
        <v/>
      </c>
      <c r="L77" s="8">
        <f>IF(C77="","",IF(E77="Pessoal",IF(D77="Bruno",C77,0),IF(N77=0,"",IF(H77=TRUE,C77/N77,0))))</f>
        <v/>
      </c>
      <c r="M77" s="8">
        <f>IF(C77="","",IF(E77="Pessoal",IF(D77="Gabriele",C77,0),IF(N77=0,"",IF(I77=TRUE,C77/N77,0))))</f>
        <v/>
      </c>
      <c r="N77" s="7">
        <f>IF(C77="","",IF(E77="Pessoal",1,COUNTIF(F77:I77,TRUE)))</f>
        <v/>
      </c>
      <c r="O77" s="7" t="n"/>
      <c r="P77" s="7" t="n"/>
    </row>
    <row r="78">
      <c r="A78" s="7" t="n"/>
      <c r="B78" s="7" t="n"/>
      <c r="C78" s="8" t="n"/>
      <c r="D78" s="7" t="n"/>
      <c r="E78" s="7" t="n"/>
      <c r="F78" s="7" t="b">
        <v>0</v>
      </c>
      <c r="G78" s="7" t="b">
        <v>0</v>
      </c>
      <c r="H78" s="7" t="b">
        <v>0</v>
      </c>
      <c r="I78" s="7" t="b">
        <v>0</v>
      </c>
      <c r="J78" s="8">
        <f>IF(C78="","",IF(E78="Pessoal",IF(D78="Eduardo",C78,0),IF(N78=0,"",IF(F78=TRUE,C78/N78,0))))</f>
        <v/>
      </c>
      <c r="K78" s="8">
        <f>IF(C78="","",IF(E78="Pessoal",IF(D78="Karina",C78,0),IF(N78=0,"",IF(G78=TRUE,C78/N78,0))))</f>
        <v/>
      </c>
      <c r="L78" s="8">
        <f>IF(C78="","",IF(E78="Pessoal",IF(D78="Bruno",C78,0),IF(N78=0,"",IF(H78=TRUE,C78/N78,0))))</f>
        <v/>
      </c>
      <c r="M78" s="8">
        <f>IF(C78="","",IF(E78="Pessoal",IF(D78="Gabriele",C78,0),IF(N78=0,"",IF(I78=TRUE,C78/N78,0))))</f>
        <v/>
      </c>
      <c r="N78" s="7">
        <f>IF(C78="","",IF(E78="Pessoal",1,COUNTIF(F78:I78,TRUE)))</f>
        <v/>
      </c>
      <c r="O78" s="7" t="n"/>
      <c r="P78" s="7" t="n"/>
    </row>
    <row r="79">
      <c r="A79" s="7" t="n"/>
      <c r="B79" s="7" t="n"/>
      <c r="C79" s="8" t="n"/>
      <c r="D79" s="7" t="n"/>
      <c r="E79" s="7" t="n"/>
      <c r="F79" s="7" t="b">
        <v>0</v>
      </c>
      <c r="G79" s="7" t="b">
        <v>0</v>
      </c>
      <c r="H79" s="7" t="b">
        <v>0</v>
      </c>
      <c r="I79" s="7" t="b">
        <v>0</v>
      </c>
      <c r="J79" s="8">
        <f>IF(C79="","",IF(E79="Pessoal",IF(D79="Eduardo",C79,0),IF(N79=0,"",IF(F79=TRUE,C79/N79,0))))</f>
        <v/>
      </c>
      <c r="K79" s="8">
        <f>IF(C79="","",IF(E79="Pessoal",IF(D79="Karina",C79,0),IF(N79=0,"",IF(G79=TRUE,C79/N79,0))))</f>
        <v/>
      </c>
      <c r="L79" s="8">
        <f>IF(C79="","",IF(E79="Pessoal",IF(D79="Bruno",C79,0),IF(N79=0,"",IF(H79=TRUE,C79/N79,0))))</f>
        <v/>
      </c>
      <c r="M79" s="8">
        <f>IF(C79="","",IF(E79="Pessoal",IF(D79="Gabriele",C79,0),IF(N79=0,"",IF(I79=TRUE,C79/N79,0))))</f>
        <v/>
      </c>
      <c r="N79" s="7">
        <f>IF(C79="","",IF(E79="Pessoal",1,COUNTIF(F79:I79,TRUE)))</f>
        <v/>
      </c>
      <c r="O79" s="7" t="n"/>
      <c r="P79" s="7" t="n"/>
    </row>
    <row r="80">
      <c r="A80" s="7" t="n"/>
      <c r="B80" s="7" t="n"/>
      <c r="C80" s="8" t="n"/>
      <c r="D80" s="7" t="n"/>
      <c r="E80" s="7" t="n"/>
      <c r="F80" s="7" t="b">
        <v>0</v>
      </c>
      <c r="G80" s="7" t="b">
        <v>0</v>
      </c>
      <c r="H80" s="7" t="b">
        <v>0</v>
      </c>
      <c r="I80" s="7" t="b">
        <v>0</v>
      </c>
      <c r="J80" s="8">
        <f>IF(C80="","",IF(E80="Pessoal",IF(D80="Eduardo",C80,0),IF(N80=0,"",IF(F80=TRUE,C80/N80,0))))</f>
        <v/>
      </c>
      <c r="K80" s="8">
        <f>IF(C80="","",IF(E80="Pessoal",IF(D80="Karina",C80,0),IF(N80=0,"",IF(G80=TRUE,C80/N80,0))))</f>
        <v/>
      </c>
      <c r="L80" s="8">
        <f>IF(C80="","",IF(E80="Pessoal",IF(D80="Bruno",C80,0),IF(N80=0,"",IF(H80=TRUE,C80/N80,0))))</f>
        <v/>
      </c>
      <c r="M80" s="8">
        <f>IF(C80="","",IF(E80="Pessoal",IF(D80="Gabriele",C80,0),IF(N80=0,"",IF(I80=TRUE,C80/N80,0))))</f>
        <v/>
      </c>
      <c r="N80" s="7">
        <f>IF(C80="","",IF(E80="Pessoal",1,COUNTIF(F80:I80,TRUE)))</f>
        <v/>
      </c>
      <c r="O80" s="7" t="n"/>
      <c r="P80" s="7" t="n"/>
    </row>
    <row r="81">
      <c r="A81" s="7" t="n"/>
      <c r="B81" s="7" t="n"/>
      <c r="C81" s="8" t="n"/>
      <c r="D81" s="7" t="n"/>
      <c r="E81" s="7" t="n"/>
      <c r="F81" s="7" t="b">
        <v>0</v>
      </c>
      <c r="G81" s="7" t="b">
        <v>0</v>
      </c>
      <c r="H81" s="7" t="b">
        <v>0</v>
      </c>
      <c r="I81" s="7" t="b">
        <v>0</v>
      </c>
      <c r="J81" s="8">
        <f>IF(C81="","",IF(E81="Pessoal",IF(D81="Eduardo",C81,0),IF(N81=0,"",IF(F81=TRUE,C81/N81,0))))</f>
        <v/>
      </c>
      <c r="K81" s="8">
        <f>IF(C81="","",IF(E81="Pessoal",IF(D81="Karina",C81,0),IF(N81=0,"",IF(G81=TRUE,C81/N81,0))))</f>
        <v/>
      </c>
      <c r="L81" s="8">
        <f>IF(C81="","",IF(E81="Pessoal",IF(D81="Bruno",C81,0),IF(N81=0,"",IF(H81=TRUE,C81/N81,0))))</f>
        <v/>
      </c>
      <c r="M81" s="8">
        <f>IF(C81="","",IF(E81="Pessoal",IF(D81="Gabriele",C81,0),IF(N81=0,"",IF(I81=TRUE,C81/N81,0))))</f>
        <v/>
      </c>
      <c r="N81" s="7">
        <f>IF(C81="","",IF(E81="Pessoal",1,COUNTIF(F81:I81,TRUE)))</f>
        <v/>
      </c>
      <c r="O81" s="7" t="n"/>
      <c r="P81" s="7" t="n"/>
    </row>
    <row r="82">
      <c r="A82" s="7" t="n"/>
      <c r="B82" s="7" t="n"/>
      <c r="C82" s="8" t="n"/>
      <c r="D82" s="7" t="n"/>
      <c r="E82" s="7" t="n"/>
      <c r="F82" s="7" t="b">
        <v>0</v>
      </c>
      <c r="G82" s="7" t="b">
        <v>0</v>
      </c>
      <c r="H82" s="7" t="b">
        <v>0</v>
      </c>
      <c r="I82" s="7" t="b">
        <v>0</v>
      </c>
      <c r="J82" s="8">
        <f>IF(C82="","",IF(E82="Pessoal",IF(D82="Eduardo",C82,0),IF(N82=0,"",IF(F82=TRUE,C82/N82,0))))</f>
        <v/>
      </c>
      <c r="K82" s="8">
        <f>IF(C82="","",IF(E82="Pessoal",IF(D82="Karina",C82,0),IF(N82=0,"",IF(G82=TRUE,C82/N82,0))))</f>
        <v/>
      </c>
      <c r="L82" s="8">
        <f>IF(C82="","",IF(E82="Pessoal",IF(D82="Bruno",C82,0),IF(N82=0,"",IF(H82=TRUE,C82/N82,0))))</f>
        <v/>
      </c>
      <c r="M82" s="8">
        <f>IF(C82="","",IF(E82="Pessoal",IF(D82="Gabriele",C82,0),IF(N82=0,"",IF(I82=TRUE,C82/N82,0))))</f>
        <v/>
      </c>
      <c r="N82" s="7">
        <f>IF(C82="","",IF(E82="Pessoal",1,COUNTIF(F82:I82,TRUE)))</f>
        <v/>
      </c>
      <c r="O82" s="7" t="n"/>
      <c r="P82" s="7" t="n"/>
    </row>
    <row r="83">
      <c r="A83" s="7" t="n"/>
      <c r="B83" s="7" t="n"/>
      <c r="C83" s="8" t="n"/>
      <c r="D83" s="7" t="n"/>
      <c r="E83" s="7" t="n"/>
      <c r="F83" s="7" t="b">
        <v>0</v>
      </c>
      <c r="G83" s="7" t="b">
        <v>0</v>
      </c>
      <c r="H83" s="7" t="b">
        <v>0</v>
      </c>
      <c r="I83" s="7" t="b">
        <v>0</v>
      </c>
      <c r="J83" s="8">
        <f>IF(C83="","",IF(E83="Pessoal",IF(D83="Eduardo",C83,0),IF(N83=0,"",IF(F83=TRUE,C83/N83,0))))</f>
        <v/>
      </c>
      <c r="K83" s="8">
        <f>IF(C83="","",IF(E83="Pessoal",IF(D83="Karina",C83,0),IF(N83=0,"",IF(G83=TRUE,C83/N83,0))))</f>
        <v/>
      </c>
      <c r="L83" s="8">
        <f>IF(C83="","",IF(E83="Pessoal",IF(D83="Bruno",C83,0),IF(N83=0,"",IF(H83=TRUE,C83/N83,0))))</f>
        <v/>
      </c>
      <c r="M83" s="8">
        <f>IF(C83="","",IF(E83="Pessoal",IF(D83="Gabriele",C83,0),IF(N83=0,"",IF(I83=TRUE,C83/N83,0))))</f>
        <v/>
      </c>
      <c r="N83" s="7">
        <f>IF(C83="","",IF(E83="Pessoal",1,COUNTIF(F83:I83,TRUE)))</f>
        <v/>
      </c>
      <c r="O83" s="7" t="n"/>
      <c r="P83" s="7" t="n"/>
    </row>
    <row r="84">
      <c r="A84" s="7" t="n"/>
      <c r="B84" s="7" t="n"/>
      <c r="C84" s="8" t="n"/>
      <c r="D84" s="7" t="n"/>
      <c r="E84" s="7" t="n"/>
      <c r="F84" s="7" t="b">
        <v>0</v>
      </c>
      <c r="G84" s="7" t="b">
        <v>0</v>
      </c>
      <c r="H84" s="7" t="b">
        <v>0</v>
      </c>
      <c r="I84" s="7" t="b">
        <v>0</v>
      </c>
      <c r="J84" s="8">
        <f>IF(C84="","",IF(E84="Pessoal",IF(D84="Eduardo",C84,0),IF(N84=0,"",IF(F84=TRUE,C84/N84,0))))</f>
        <v/>
      </c>
      <c r="K84" s="8">
        <f>IF(C84="","",IF(E84="Pessoal",IF(D84="Karina",C84,0),IF(N84=0,"",IF(G84=TRUE,C84/N84,0))))</f>
        <v/>
      </c>
      <c r="L84" s="8">
        <f>IF(C84="","",IF(E84="Pessoal",IF(D84="Bruno",C84,0),IF(N84=0,"",IF(H84=TRUE,C84/N84,0))))</f>
        <v/>
      </c>
      <c r="M84" s="8">
        <f>IF(C84="","",IF(E84="Pessoal",IF(D84="Gabriele",C84,0),IF(N84=0,"",IF(I84=TRUE,C84/N84,0))))</f>
        <v/>
      </c>
      <c r="N84" s="7">
        <f>IF(C84="","",IF(E84="Pessoal",1,COUNTIF(F84:I84,TRUE)))</f>
        <v/>
      </c>
      <c r="O84" s="7" t="n"/>
      <c r="P84" s="7" t="n"/>
    </row>
    <row r="85">
      <c r="A85" s="7" t="n"/>
      <c r="B85" s="7" t="n"/>
      <c r="C85" s="8" t="n"/>
      <c r="D85" s="7" t="n"/>
      <c r="E85" s="7" t="n"/>
      <c r="F85" s="7" t="b">
        <v>0</v>
      </c>
      <c r="G85" s="7" t="b">
        <v>0</v>
      </c>
      <c r="H85" s="7" t="b">
        <v>0</v>
      </c>
      <c r="I85" s="7" t="b">
        <v>0</v>
      </c>
      <c r="J85" s="8">
        <f>IF(C85="","",IF(E85="Pessoal",IF(D85="Eduardo",C85,0),IF(N85=0,"",IF(F85=TRUE,C85/N85,0))))</f>
        <v/>
      </c>
      <c r="K85" s="8">
        <f>IF(C85="","",IF(E85="Pessoal",IF(D85="Karina",C85,0),IF(N85=0,"",IF(G85=TRUE,C85/N85,0))))</f>
        <v/>
      </c>
      <c r="L85" s="8">
        <f>IF(C85="","",IF(E85="Pessoal",IF(D85="Bruno",C85,0),IF(N85=0,"",IF(H85=TRUE,C85/N85,0))))</f>
        <v/>
      </c>
      <c r="M85" s="8">
        <f>IF(C85="","",IF(E85="Pessoal",IF(D85="Gabriele",C85,0),IF(N85=0,"",IF(I85=TRUE,C85/N85,0))))</f>
        <v/>
      </c>
      <c r="N85" s="7">
        <f>IF(C85="","",IF(E85="Pessoal",1,COUNTIF(F85:I85,TRUE)))</f>
        <v/>
      </c>
      <c r="O85" s="7" t="n"/>
      <c r="P85" s="7" t="n"/>
    </row>
    <row r="86">
      <c r="A86" s="7" t="n"/>
      <c r="B86" s="7" t="n"/>
      <c r="C86" s="8" t="n"/>
      <c r="D86" s="7" t="n"/>
      <c r="E86" s="7" t="n"/>
      <c r="F86" s="7" t="b">
        <v>0</v>
      </c>
      <c r="G86" s="7" t="b">
        <v>0</v>
      </c>
      <c r="H86" s="7" t="b">
        <v>0</v>
      </c>
      <c r="I86" s="7" t="b">
        <v>0</v>
      </c>
      <c r="J86" s="8">
        <f>IF(C86="","",IF(E86="Pessoal",IF(D86="Eduardo",C86,0),IF(N86=0,"",IF(F86=TRUE,C86/N86,0))))</f>
        <v/>
      </c>
      <c r="K86" s="8">
        <f>IF(C86="","",IF(E86="Pessoal",IF(D86="Karina",C86,0),IF(N86=0,"",IF(G86=TRUE,C86/N86,0))))</f>
        <v/>
      </c>
      <c r="L86" s="8">
        <f>IF(C86="","",IF(E86="Pessoal",IF(D86="Bruno",C86,0),IF(N86=0,"",IF(H86=TRUE,C86/N86,0))))</f>
        <v/>
      </c>
      <c r="M86" s="8">
        <f>IF(C86="","",IF(E86="Pessoal",IF(D86="Gabriele",C86,0),IF(N86=0,"",IF(I86=TRUE,C86/N86,0))))</f>
        <v/>
      </c>
      <c r="N86" s="7">
        <f>IF(C86="","",IF(E86="Pessoal",1,COUNTIF(F86:I86,TRUE)))</f>
        <v/>
      </c>
      <c r="O86" s="7" t="n"/>
      <c r="P86" s="7" t="n"/>
    </row>
    <row r="87">
      <c r="A87" s="7" t="n"/>
      <c r="B87" s="7" t="n"/>
      <c r="C87" s="8" t="n"/>
      <c r="D87" s="7" t="n"/>
      <c r="E87" s="7" t="n"/>
      <c r="F87" s="7" t="b">
        <v>0</v>
      </c>
      <c r="G87" s="7" t="b">
        <v>0</v>
      </c>
      <c r="H87" s="7" t="b">
        <v>0</v>
      </c>
      <c r="I87" s="7" t="b">
        <v>0</v>
      </c>
      <c r="J87" s="8">
        <f>IF(C87="","",IF(E87="Pessoal",IF(D87="Eduardo",C87,0),IF(N87=0,"",IF(F87=TRUE,C87/N87,0))))</f>
        <v/>
      </c>
      <c r="K87" s="8">
        <f>IF(C87="","",IF(E87="Pessoal",IF(D87="Karina",C87,0),IF(N87=0,"",IF(G87=TRUE,C87/N87,0))))</f>
        <v/>
      </c>
      <c r="L87" s="8">
        <f>IF(C87="","",IF(E87="Pessoal",IF(D87="Bruno",C87,0),IF(N87=0,"",IF(H87=TRUE,C87/N87,0))))</f>
        <v/>
      </c>
      <c r="M87" s="8">
        <f>IF(C87="","",IF(E87="Pessoal",IF(D87="Gabriele",C87,0),IF(N87=0,"",IF(I87=TRUE,C87/N87,0))))</f>
        <v/>
      </c>
      <c r="N87" s="7">
        <f>IF(C87="","",IF(E87="Pessoal",1,COUNTIF(F87:I87,TRUE)))</f>
        <v/>
      </c>
      <c r="O87" s="7" t="n"/>
      <c r="P87" s="7" t="n"/>
    </row>
    <row r="88">
      <c r="A88" s="7" t="n"/>
      <c r="B88" s="7" t="n"/>
      <c r="C88" s="8" t="n"/>
      <c r="D88" s="7" t="n"/>
      <c r="E88" s="7" t="n"/>
      <c r="F88" s="7" t="b">
        <v>0</v>
      </c>
      <c r="G88" s="7" t="b">
        <v>0</v>
      </c>
      <c r="H88" s="7" t="b">
        <v>0</v>
      </c>
      <c r="I88" s="7" t="b">
        <v>0</v>
      </c>
      <c r="J88" s="8">
        <f>IF(C88="","",IF(E88="Pessoal",IF(D88="Eduardo",C88,0),IF(N88=0,"",IF(F88=TRUE,C88/N88,0))))</f>
        <v/>
      </c>
      <c r="K88" s="8">
        <f>IF(C88="","",IF(E88="Pessoal",IF(D88="Karina",C88,0),IF(N88=0,"",IF(G88=TRUE,C88/N88,0))))</f>
        <v/>
      </c>
      <c r="L88" s="8">
        <f>IF(C88="","",IF(E88="Pessoal",IF(D88="Bruno",C88,0),IF(N88=0,"",IF(H88=TRUE,C88/N88,0))))</f>
        <v/>
      </c>
      <c r="M88" s="8">
        <f>IF(C88="","",IF(E88="Pessoal",IF(D88="Gabriele",C88,0),IF(N88=0,"",IF(I88=TRUE,C88/N88,0))))</f>
        <v/>
      </c>
      <c r="N88" s="7">
        <f>IF(C88="","",IF(E88="Pessoal",1,COUNTIF(F88:I88,TRUE)))</f>
        <v/>
      </c>
      <c r="O88" s="7" t="n"/>
      <c r="P88" s="7" t="n"/>
    </row>
    <row r="89">
      <c r="A89" s="7" t="n"/>
      <c r="B89" s="7" t="n"/>
      <c r="C89" s="8" t="n"/>
      <c r="D89" s="7" t="n"/>
      <c r="E89" s="7" t="n"/>
      <c r="F89" s="7" t="b">
        <v>0</v>
      </c>
      <c r="G89" s="7" t="b">
        <v>0</v>
      </c>
      <c r="H89" s="7" t="b">
        <v>0</v>
      </c>
      <c r="I89" s="7" t="b">
        <v>0</v>
      </c>
      <c r="J89" s="8">
        <f>IF(C89="","",IF(E89="Pessoal",IF(D89="Eduardo",C89,0),IF(N89=0,"",IF(F89=TRUE,C89/N89,0))))</f>
        <v/>
      </c>
      <c r="K89" s="8">
        <f>IF(C89="","",IF(E89="Pessoal",IF(D89="Karina",C89,0),IF(N89=0,"",IF(G89=TRUE,C89/N89,0))))</f>
        <v/>
      </c>
      <c r="L89" s="8">
        <f>IF(C89="","",IF(E89="Pessoal",IF(D89="Bruno",C89,0),IF(N89=0,"",IF(H89=TRUE,C89/N89,0))))</f>
        <v/>
      </c>
      <c r="M89" s="8">
        <f>IF(C89="","",IF(E89="Pessoal",IF(D89="Gabriele",C89,0),IF(N89=0,"",IF(I89=TRUE,C89/N89,0))))</f>
        <v/>
      </c>
      <c r="N89" s="7">
        <f>IF(C89="","",IF(E89="Pessoal",1,COUNTIF(F89:I89,TRUE)))</f>
        <v/>
      </c>
      <c r="O89" s="7" t="n"/>
      <c r="P89" s="7" t="n"/>
    </row>
    <row r="90">
      <c r="A90" s="7" t="n"/>
      <c r="B90" s="7" t="n"/>
      <c r="C90" s="8" t="n"/>
      <c r="D90" s="7" t="n"/>
      <c r="E90" s="7" t="n"/>
      <c r="F90" s="7" t="b">
        <v>0</v>
      </c>
      <c r="G90" s="7" t="b">
        <v>0</v>
      </c>
      <c r="H90" s="7" t="b">
        <v>0</v>
      </c>
      <c r="I90" s="7" t="b">
        <v>0</v>
      </c>
      <c r="J90" s="8">
        <f>IF(C90="","",IF(E90="Pessoal",IF(D90="Eduardo",C90,0),IF(N90=0,"",IF(F90=TRUE,C90/N90,0))))</f>
        <v/>
      </c>
      <c r="K90" s="8">
        <f>IF(C90="","",IF(E90="Pessoal",IF(D90="Karina",C90,0),IF(N90=0,"",IF(G90=TRUE,C90/N90,0))))</f>
        <v/>
      </c>
      <c r="L90" s="8">
        <f>IF(C90="","",IF(E90="Pessoal",IF(D90="Bruno",C90,0),IF(N90=0,"",IF(H90=TRUE,C90/N90,0))))</f>
        <v/>
      </c>
      <c r="M90" s="8">
        <f>IF(C90="","",IF(E90="Pessoal",IF(D90="Gabriele",C90,0),IF(N90=0,"",IF(I90=TRUE,C90/N90,0))))</f>
        <v/>
      </c>
      <c r="N90" s="7">
        <f>IF(C90="","",IF(E90="Pessoal",1,COUNTIF(F90:I90,TRUE)))</f>
        <v/>
      </c>
      <c r="O90" s="7" t="n"/>
      <c r="P90" s="7" t="n"/>
    </row>
    <row r="91">
      <c r="A91" s="7" t="n"/>
      <c r="B91" s="7" t="n"/>
      <c r="C91" s="8" t="n"/>
      <c r="D91" s="7" t="n"/>
      <c r="E91" s="7" t="n"/>
      <c r="F91" s="7" t="b">
        <v>0</v>
      </c>
      <c r="G91" s="7" t="b">
        <v>0</v>
      </c>
      <c r="H91" s="7" t="b">
        <v>0</v>
      </c>
      <c r="I91" s="7" t="b">
        <v>0</v>
      </c>
      <c r="J91" s="8">
        <f>IF(C91="","",IF(E91="Pessoal",IF(D91="Eduardo",C91,0),IF(N91=0,"",IF(F91=TRUE,C91/N91,0))))</f>
        <v/>
      </c>
      <c r="K91" s="8">
        <f>IF(C91="","",IF(E91="Pessoal",IF(D91="Karina",C91,0),IF(N91=0,"",IF(G91=TRUE,C91/N91,0))))</f>
        <v/>
      </c>
      <c r="L91" s="8">
        <f>IF(C91="","",IF(E91="Pessoal",IF(D91="Bruno",C91,0),IF(N91=0,"",IF(H91=TRUE,C91/N91,0))))</f>
        <v/>
      </c>
      <c r="M91" s="8">
        <f>IF(C91="","",IF(E91="Pessoal",IF(D91="Gabriele",C91,0),IF(N91=0,"",IF(I91=TRUE,C91/N91,0))))</f>
        <v/>
      </c>
      <c r="N91" s="7">
        <f>IF(C91="","",IF(E91="Pessoal",1,COUNTIF(F91:I91,TRUE)))</f>
        <v/>
      </c>
      <c r="O91" s="7" t="n"/>
      <c r="P91" s="7" t="n"/>
    </row>
    <row r="92">
      <c r="A92" s="7" t="n"/>
      <c r="B92" s="7" t="n"/>
      <c r="C92" s="8" t="n"/>
      <c r="D92" s="7" t="n"/>
      <c r="E92" s="7" t="n"/>
      <c r="F92" s="7" t="b">
        <v>0</v>
      </c>
      <c r="G92" s="7" t="b">
        <v>0</v>
      </c>
      <c r="H92" s="7" t="b">
        <v>0</v>
      </c>
      <c r="I92" s="7" t="b">
        <v>0</v>
      </c>
      <c r="J92" s="8">
        <f>IF(C92="","",IF(E92="Pessoal",IF(D92="Eduardo",C92,0),IF(N92=0,"",IF(F92=TRUE,C92/N92,0))))</f>
        <v/>
      </c>
      <c r="K92" s="8">
        <f>IF(C92="","",IF(E92="Pessoal",IF(D92="Karina",C92,0),IF(N92=0,"",IF(G92=TRUE,C92/N92,0))))</f>
        <v/>
      </c>
      <c r="L92" s="8">
        <f>IF(C92="","",IF(E92="Pessoal",IF(D92="Bruno",C92,0),IF(N92=0,"",IF(H92=TRUE,C92/N92,0))))</f>
        <v/>
      </c>
      <c r="M92" s="8">
        <f>IF(C92="","",IF(E92="Pessoal",IF(D92="Gabriele",C92,0),IF(N92=0,"",IF(I92=TRUE,C92/N92,0))))</f>
        <v/>
      </c>
      <c r="N92" s="7">
        <f>IF(C92="","",IF(E92="Pessoal",1,COUNTIF(F92:I92,TRUE)))</f>
        <v/>
      </c>
      <c r="O92" s="7" t="n"/>
      <c r="P92" s="7" t="n"/>
    </row>
    <row r="93">
      <c r="A93" s="7" t="n"/>
      <c r="B93" s="7" t="n"/>
      <c r="C93" s="8" t="n"/>
      <c r="D93" s="7" t="n"/>
      <c r="E93" s="7" t="n"/>
      <c r="F93" s="7" t="b">
        <v>0</v>
      </c>
      <c r="G93" s="7" t="b">
        <v>0</v>
      </c>
      <c r="H93" s="7" t="b">
        <v>0</v>
      </c>
      <c r="I93" s="7" t="b">
        <v>0</v>
      </c>
      <c r="J93" s="8">
        <f>IF(C93="","",IF(E93="Pessoal",IF(D93="Eduardo",C93,0),IF(N93=0,"",IF(F93=TRUE,C93/N93,0))))</f>
        <v/>
      </c>
      <c r="K93" s="8">
        <f>IF(C93="","",IF(E93="Pessoal",IF(D93="Karina",C93,0),IF(N93=0,"",IF(G93=TRUE,C93/N93,0))))</f>
        <v/>
      </c>
      <c r="L93" s="8">
        <f>IF(C93="","",IF(E93="Pessoal",IF(D93="Bruno",C93,0),IF(N93=0,"",IF(H93=TRUE,C93/N93,0))))</f>
        <v/>
      </c>
      <c r="M93" s="8">
        <f>IF(C93="","",IF(E93="Pessoal",IF(D93="Gabriele",C93,0),IF(N93=0,"",IF(I93=TRUE,C93/N93,0))))</f>
        <v/>
      </c>
      <c r="N93" s="7">
        <f>IF(C93="","",IF(E93="Pessoal",1,COUNTIF(F93:I93,TRUE)))</f>
        <v/>
      </c>
      <c r="O93" s="7" t="n"/>
      <c r="P93" s="7" t="n"/>
    </row>
    <row r="94">
      <c r="A94" s="7" t="n"/>
      <c r="B94" s="7" t="n"/>
      <c r="C94" s="8" t="n"/>
      <c r="D94" s="7" t="n"/>
      <c r="E94" s="7" t="n"/>
      <c r="F94" s="7" t="b">
        <v>0</v>
      </c>
      <c r="G94" s="7" t="b">
        <v>0</v>
      </c>
      <c r="H94" s="7" t="b">
        <v>0</v>
      </c>
      <c r="I94" s="7" t="b">
        <v>0</v>
      </c>
      <c r="J94" s="8">
        <f>IF(C94="","",IF(E94="Pessoal",IF(D94="Eduardo",C94,0),IF(N94=0,"",IF(F94=TRUE,C94/N94,0))))</f>
        <v/>
      </c>
      <c r="K94" s="8">
        <f>IF(C94="","",IF(E94="Pessoal",IF(D94="Karina",C94,0),IF(N94=0,"",IF(G94=TRUE,C94/N94,0))))</f>
        <v/>
      </c>
      <c r="L94" s="8">
        <f>IF(C94="","",IF(E94="Pessoal",IF(D94="Bruno",C94,0),IF(N94=0,"",IF(H94=TRUE,C94/N94,0))))</f>
        <v/>
      </c>
      <c r="M94" s="8">
        <f>IF(C94="","",IF(E94="Pessoal",IF(D94="Gabriele",C94,0),IF(N94=0,"",IF(I94=TRUE,C94/N94,0))))</f>
        <v/>
      </c>
      <c r="N94" s="7">
        <f>IF(C94="","",IF(E94="Pessoal",1,COUNTIF(F94:I94,TRUE)))</f>
        <v/>
      </c>
      <c r="O94" s="7" t="n"/>
      <c r="P94" s="7" t="n"/>
    </row>
    <row r="95">
      <c r="A95" s="7" t="n"/>
      <c r="B95" s="7" t="n"/>
      <c r="C95" s="8" t="n"/>
      <c r="D95" s="7" t="n"/>
      <c r="E95" s="7" t="n"/>
      <c r="F95" s="7" t="b">
        <v>0</v>
      </c>
      <c r="G95" s="7" t="b">
        <v>0</v>
      </c>
      <c r="H95" s="7" t="b">
        <v>0</v>
      </c>
      <c r="I95" s="7" t="b">
        <v>0</v>
      </c>
      <c r="J95" s="8">
        <f>IF(C95="","",IF(E95="Pessoal",IF(D95="Eduardo",C95,0),IF(N95=0,"",IF(F95=TRUE,C95/N95,0))))</f>
        <v/>
      </c>
      <c r="K95" s="8">
        <f>IF(C95="","",IF(E95="Pessoal",IF(D95="Karina",C95,0),IF(N95=0,"",IF(G95=TRUE,C95/N95,0))))</f>
        <v/>
      </c>
      <c r="L95" s="8">
        <f>IF(C95="","",IF(E95="Pessoal",IF(D95="Bruno",C95,0),IF(N95=0,"",IF(H95=TRUE,C95/N95,0))))</f>
        <v/>
      </c>
      <c r="M95" s="8">
        <f>IF(C95="","",IF(E95="Pessoal",IF(D95="Gabriele",C95,0),IF(N95=0,"",IF(I95=TRUE,C95/N95,0))))</f>
        <v/>
      </c>
      <c r="N95" s="7">
        <f>IF(C95="","",IF(E95="Pessoal",1,COUNTIF(F95:I95,TRUE)))</f>
        <v/>
      </c>
      <c r="O95" s="7" t="n"/>
      <c r="P95" s="7" t="n"/>
    </row>
    <row r="96">
      <c r="A96" s="7" t="n"/>
      <c r="B96" s="7" t="n"/>
      <c r="C96" s="8" t="n"/>
      <c r="D96" s="7" t="n"/>
      <c r="E96" s="7" t="n"/>
      <c r="F96" s="7" t="b">
        <v>0</v>
      </c>
      <c r="G96" s="7" t="b">
        <v>0</v>
      </c>
      <c r="H96" s="7" t="b">
        <v>0</v>
      </c>
      <c r="I96" s="7" t="b">
        <v>0</v>
      </c>
      <c r="J96" s="8">
        <f>IF(C96="","",IF(E96="Pessoal",IF(D96="Eduardo",C96,0),IF(N96=0,"",IF(F96=TRUE,C96/N96,0))))</f>
        <v/>
      </c>
      <c r="K96" s="8">
        <f>IF(C96="","",IF(E96="Pessoal",IF(D96="Karina",C96,0),IF(N96=0,"",IF(G96=TRUE,C96/N96,0))))</f>
        <v/>
      </c>
      <c r="L96" s="8">
        <f>IF(C96="","",IF(E96="Pessoal",IF(D96="Bruno",C96,0),IF(N96=0,"",IF(H96=TRUE,C96/N96,0))))</f>
        <v/>
      </c>
      <c r="M96" s="8">
        <f>IF(C96="","",IF(E96="Pessoal",IF(D96="Gabriele",C96,0),IF(N96=0,"",IF(I96=TRUE,C96/N96,0))))</f>
        <v/>
      </c>
      <c r="N96" s="7">
        <f>IF(C96="","",IF(E96="Pessoal",1,COUNTIF(F96:I96,TRUE)))</f>
        <v/>
      </c>
      <c r="O96" s="7" t="n"/>
      <c r="P96" s="7" t="n"/>
    </row>
    <row r="97">
      <c r="A97" s="7" t="n"/>
      <c r="B97" s="7" t="n"/>
      <c r="C97" s="8" t="n"/>
      <c r="D97" s="7" t="n"/>
      <c r="E97" s="7" t="n"/>
      <c r="F97" s="7" t="b">
        <v>0</v>
      </c>
      <c r="G97" s="7" t="b">
        <v>0</v>
      </c>
      <c r="H97" s="7" t="b">
        <v>0</v>
      </c>
      <c r="I97" s="7" t="b">
        <v>0</v>
      </c>
      <c r="J97" s="8">
        <f>IF(C97="","",IF(E97="Pessoal",IF(D97="Eduardo",C97,0),IF(N97=0,"",IF(F97=TRUE,C97/N97,0))))</f>
        <v/>
      </c>
      <c r="K97" s="8">
        <f>IF(C97="","",IF(E97="Pessoal",IF(D97="Karina",C97,0),IF(N97=0,"",IF(G97=TRUE,C97/N97,0))))</f>
        <v/>
      </c>
      <c r="L97" s="8">
        <f>IF(C97="","",IF(E97="Pessoal",IF(D97="Bruno",C97,0),IF(N97=0,"",IF(H97=TRUE,C97/N97,0))))</f>
        <v/>
      </c>
      <c r="M97" s="8">
        <f>IF(C97="","",IF(E97="Pessoal",IF(D97="Gabriele",C97,0),IF(N97=0,"",IF(I97=TRUE,C97/N97,0))))</f>
        <v/>
      </c>
      <c r="N97" s="7">
        <f>IF(C97="","",IF(E97="Pessoal",1,COUNTIF(F97:I97,TRUE)))</f>
        <v/>
      </c>
      <c r="O97" s="7" t="n"/>
      <c r="P97" s="7" t="n"/>
    </row>
    <row r="98">
      <c r="A98" s="7" t="n"/>
      <c r="B98" s="7" t="n"/>
      <c r="C98" s="8" t="n"/>
      <c r="D98" s="7" t="n"/>
      <c r="E98" s="7" t="n"/>
      <c r="F98" s="7" t="b">
        <v>0</v>
      </c>
      <c r="G98" s="7" t="b">
        <v>0</v>
      </c>
      <c r="H98" s="7" t="b">
        <v>0</v>
      </c>
      <c r="I98" s="7" t="b">
        <v>0</v>
      </c>
      <c r="J98" s="8">
        <f>IF(C98="","",IF(E98="Pessoal",IF(D98="Eduardo",C98,0),IF(N98=0,"",IF(F98=TRUE,C98/N98,0))))</f>
        <v/>
      </c>
      <c r="K98" s="8">
        <f>IF(C98="","",IF(E98="Pessoal",IF(D98="Karina",C98,0),IF(N98=0,"",IF(G98=TRUE,C98/N98,0))))</f>
        <v/>
      </c>
      <c r="L98" s="8">
        <f>IF(C98="","",IF(E98="Pessoal",IF(D98="Bruno",C98,0),IF(N98=0,"",IF(H98=TRUE,C98/N98,0))))</f>
        <v/>
      </c>
      <c r="M98" s="8">
        <f>IF(C98="","",IF(E98="Pessoal",IF(D98="Gabriele",C98,0),IF(N98=0,"",IF(I98=TRUE,C98/N98,0))))</f>
        <v/>
      </c>
      <c r="N98" s="7">
        <f>IF(C98="","",IF(E98="Pessoal",1,COUNTIF(F98:I98,TRUE)))</f>
        <v/>
      </c>
      <c r="O98" s="7" t="n"/>
      <c r="P98" s="7" t="n"/>
    </row>
    <row r="99">
      <c r="A99" s="7" t="n"/>
      <c r="B99" s="7" t="n"/>
      <c r="C99" s="8" t="n"/>
      <c r="D99" s="7" t="n"/>
      <c r="E99" s="7" t="n"/>
      <c r="F99" s="7" t="b">
        <v>0</v>
      </c>
      <c r="G99" s="7" t="b">
        <v>0</v>
      </c>
      <c r="H99" s="7" t="b">
        <v>0</v>
      </c>
      <c r="I99" s="7" t="b">
        <v>0</v>
      </c>
      <c r="J99" s="8">
        <f>IF(C99="","",IF(E99="Pessoal",IF(D99="Eduardo",C99,0),IF(N99=0,"",IF(F99=TRUE,C99/N99,0))))</f>
        <v/>
      </c>
      <c r="K99" s="8">
        <f>IF(C99="","",IF(E99="Pessoal",IF(D99="Karina",C99,0),IF(N99=0,"",IF(G99=TRUE,C99/N99,0))))</f>
        <v/>
      </c>
      <c r="L99" s="8">
        <f>IF(C99="","",IF(E99="Pessoal",IF(D99="Bruno",C99,0),IF(N99=0,"",IF(H99=TRUE,C99/N99,0))))</f>
        <v/>
      </c>
      <c r="M99" s="8">
        <f>IF(C99="","",IF(E99="Pessoal",IF(D99="Gabriele",C99,0),IF(N99=0,"",IF(I99=TRUE,C99/N99,0))))</f>
        <v/>
      </c>
      <c r="N99" s="7">
        <f>IF(C99="","",IF(E99="Pessoal",1,COUNTIF(F99:I99,TRUE)))</f>
        <v/>
      </c>
      <c r="O99" s="7" t="n"/>
      <c r="P99" s="7" t="n"/>
    </row>
    <row r="100">
      <c r="A100" s="7" t="n"/>
      <c r="B100" s="7" t="n"/>
      <c r="C100" s="8" t="n"/>
      <c r="D100" s="7" t="n"/>
      <c r="E100" s="7" t="n"/>
      <c r="F100" s="7" t="b">
        <v>0</v>
      </c>
      <c r="G100" s="7" t="b">
        <v>0</v>
      </c>
      <c r="H100" s="7" t="b">
        <v>0</v>
      </c>
      <c r="I100" s="7" t="b">
        <v>0</v>
      </c>
      <c r="J100" s="8">
        <f>IF(C100="","",IF(E100="Pessoal",IF(D100="Eduardo",C100,0),IF(N100=0,"",IF(F100=TRUE,C100/N100,0))))</f>
        <v/>
      </c>
      <c r="K100" s="8">
        <f>IF(C100="","",IF(E100="Pessoal",IF(D100="Karina",C100,0),IF(N100=0,"",IF(G100=TRUE,C100/N100,0))))</f>
        <v/>
      </c>
      <c r="L100" s="8">
        <f>IF(C100="","",IF(E100="Pessoal",IF(D100="Bruno",C100,0),IF(N100=0,"",IF(H100=TRUE,C100/N100,0))))</f>
        <v/>
      </c>
      <c r="M100" s="8">
        <f>IF(C100="","",IF(E100="Pessoal",IF(D100="Gabriele",C100,0),IF(N100=0,"",IF(I100=TRUE,C100/N100,0))))</f>
        <v/>
      </c>
      <c r="N100" s="7">
        <f>IF(C100="","",IF(E100="Pessoal",1,COUNTIF(F100:I100,TRUE)))</f>
        <v/>
      </c>
      <c r="O100" s="7" t="n"/>
      <c r="P100" s="7" t="n"/>
    </row>
    <row r="101">
      <c r="A101" s="7" t="n"/>
      <c r="B101" s="7" t="n"/>
      <c r="C101" s="8" t="n"/>
      <c r="D101" s="7" t="n"/>
      <c r="E101" s="7" t="n"/>
      <c r="F101" s="7" t="b">
        <v>0</v>
      </c>
      <c r="G101" s="7" t="b">
        <v>0</v>
      </c>
      <c r="H101" s="7" t="b">
        <v>0</v>
      </c>
      <c r="I101" s="7" t="b">
        <v>0</v>
      </c>
      <c r="J101" s="8">
        <f>IF(C101="","",IF(E101="Pessoal",IF(D101="Eduardo",C101,0),IF(N101=0,"",IF(F101=TRUE,C101/N101,0))))</f>
        <v/>
      </c>
      <c r="K101" s="8">
        <f>IF(C101="","",IF(E101="Pessoal",IF(D101="Karina",C101,0),IF(N101=0,"",IF(G101=TRUE,C101/N101,0))))</f>
        <v/>
      </c>
      <c r="L101" s="8">
        <f>IF(C101="","",IF(E101="Pessoal",IF(D101="Bruno",C101,0),IF(N101=0,"",IF(H101=TRUE,C101/N101,0))))</f>
        <v/>
      </c>
      <c r="M101" s="8">
        <f>IF(C101="","",IF(E101="Pessoal",IF(D101="Gabriele",C101,0),IF(N101=0,"",IF(I101=TRUE,C101/N101,0))))</f>
        <v/>
      </c>
      <c r="N101" s="7">
        <f>IF(C101="","",IF(E101="Pessoal",1,COUNTIF(F101:I101,TRUE)))</f>
        <v/>
      </c>
      <c r="O101" s="7" t="n"/>
      <c r="P101" s="7" t="n"/>
    </row>
    <row r="102">
      <c r="A102" s="7" t="n"/>
      <c r="B102" s="7" t="n"/>
      <c r="C102" s="8" t="n"/>
      <c r="D102" s="7" t="n"/>
      <c r="E102" s="7" t="n"/>
      <c r="F102" s="7" t="b">
        <v>0</v>
      </c>
      <c r="G102" s="7" t="b">
        <v>0</v>
      </c>
      <c r="H102" s="7" t="b">
        <v>0</v>
      </c>
      <c r="I102" s="7" t="b">
        <v>0</v>
      </c>
      <c r="J102" s="8">
        <f>IF(C102="","",IF(E102="Pessoal",IF(D102="Eduardo",C102,0),IF(N102=0,"",IF(F102=TRUE,C102/N102,0))))</f>
        <v/>
      </c>
      <c r="K102" s="8">
        <f>IF(C102="","",IF(E102="Pessoal",IF(D102="Karina",C102,0),IF(N102=0,"",IF(G102=TRUE,C102/N102,0))))</f>
        <v/>
      </c>
      <c r="L102" s="8">
        <f>IF(C102="","",IF(E102="Pessoal",IF(D102="Bruno",C102,0),IF(N102=0,"",IF(H102=TRUE,C102/N102,0))))</f>
        <v/>
      </c>
      <c r="M102" s="8">
        <f>IF(C102="","",IF(E102="Pessoal",IF(D102="Gabriele",C102,0),IF(N102=0,"",IF(I102=TRUE,C102/N102,0))))</f>
        <v/>
      </c>
      <c r="N102" s="7">
        <f>IF(C102="","",IF(E102="Pessoal",1,COUNTIF(F102:I102,TRUE)))</f>
        <v/>
      </c>
      <c r="O102" s="7" t="n"/>
      <c r="P102" s="7" t="n"/>
    </row>
    <row r="103">
      <c r="A103" s="7" t="n"/>
      <c r="B103" s="7" t="n"/>
      <c r="C103" s="8" t="n"/>
      <c r="D103" s="7" t="n"/>
      <c r="E103" s="7" t="n"/>
      <c r="F103" s="7" t="b">
        <v>0</v>
      </c>
      <c r="G103" s="7" t="b">
        <v>0</v>
      </c>
      <c r="H103" s="7" t="b">
        <v>0</v>
      </c>
      <c r="I103" s="7" t="b">
        <v>0</v>
      </c>
      <c r="J103" s="8">
        <f>IF(C103="","",IF(E103="Pessoal",IF(D103="Eduardo",C103,0),IF(N103=0,"",IF(F103=TRUE,C103/N103,0))))</f>
        <v/>
      </c>
      <c r="K103" s="8">
        <f>IF(C103="","",IF(E103="Pessoal",IF(D103="Karina",C103,0),IF(N103=0,"",IF(G103=TRUE,C103/N103,0))))</f>
        <v/>
      </c>
      <c r="L103" s="8">
        <f>IF(C103="","",IF(E103="Pessoal",IF(D103="Bruno",C103,0),IF(N103=0,"",IF(H103=TRUE,C103/N103,0))))</f>
        <v/>
      </c>
      <c r="M103" s="8">
        <f>IF(C103="","",IF(E103="Pessoal",IF(D103="Gabriele",C103,0),IF(N103=0,"",IF(I103=TRUE,C103/N103,0))))</f>
        <v/>
      </c>
      <c r="N103" s="7">
        <f>IF(C103="","",IF(E103="Pessoal",1,COUNTIF(F103:I103,TRUE)))</f>
        <v/>
      </c>
      <c r="O103" s="7" t="n"/>
      <c r="P103" s="7" t="n"/>
    </row>
    <row r="104">
      <c r="A104" s="7" t="n"/>
      <c r="B104" s="7" t="n"/>
      <c r="C104" s="8" t="n"/>
      <c r="D104" s="7" t="n"/>
      <c r="E104" s="7" t="n"/>
      <c r="F104" s="7" t="b">
        <v>0</v>
      </c>
      <c r="G104" s="7" t="b">
        <v>0</v>
      </c>
      <c r="H104" s="7" t="b">
        <v>0</v>
      </c>
      <c r="I104" s="7" t="b">
        <v>0</v>
      </c>
      <c r="J104" s="8">
        <f>IF(C104="","",IF(E104="Pessoal",IF(D104="Eduardo",C104,0),IF(N104=0,"",IF(F104=TRUE,C104/N104,0))))</f>
        <v/>
      </c>
      <c r="K104" s="8">
        <f>IF(C104="","",IF(E104="Pessoal",IF(D104="Karina",C104,0),IF(N104=0,"",IF(G104=TRUE,C104/N104,0))))</f>
        <v/>
      </c>
      <c r="L104" s="8">
        <f>IF(C104="","",IF(E104="Pessoal",IF(D104="Bruno",C104,0),IF(N104=0,"",IF(H104=TRUE,C104/N104,0))))</f>
        <v/>
      </c>
      <c r="M104" s="8">
        <f>IF(C104="","",IF(E104="Pessoal",IF(D104="Gabriele",C104,0),IF(N104=0,"",IF(I104=TRUE,C104/N104,0))))</f>
        <v/>
      </c>
      <c r="N104" s="7">
        <f>IF(C104="","",IF(E104="Pessoal",1,COUNTIF(F104:I104,TRUE)))</f>
        <v/>
      </c>
      <c r="O104" s="7" t="n"/>
      <c r="P104" s="7" t="n"/>
    </row>
    <row r="105">
      <c r="A105" s="7" t="n"/>
      <c r="B105" s="7" t="n"/>
      <c r="C105" s="8" t="n"/>
      <c r="D105" s="7" t="n"/>
      <c r="E105" s="7" t="n"/>
      <c r="F105" s="7" t="b">
        <v>0</v>
      </c>
      <c r="G105" s="7" t="b">
        <v>0</v>
      </c>
      <c r="H105" s="7" t="b">
        <v>0</v>
      </c>
      <c r="I105" s="7" t="b">
        <v>0</v>
      </c>
      <c r="J105" s="8">
        <f>IF(C105="","",IF(E105="Pessoal",IF(D105="Eduardo",C105,0),IF(N105=0,"",IF(F105=TRUE,C105/N105,0))))</f>
        <v/>
      </c>
      <c r="K105" s="8">
        <f>IF(C105="","",IF(E105="Pessoal",IF(D105="Karina",C105,0),IF(N105=0,"",IF(G105=TRUE,C105/N105,0))))</f>
        <v/>
      </c>
      <c r="L105" s="8">
        <f>IF(C105="","",IF(E105="Pessoal",IF(D105="Bruno",C105,0),IF(N105=0,"",IF(H105=TRUE,C105/N105,0))))</f>
        <v/>
      </c>
      <c r="M105" s="8">
        <f>IF(C105="","",IF(E105="Pessoal",IF(D105="Gabriele",C105,0),IF(N105=0,"",IF(I105=TRUE,C105/N105,0))))</f>
        <v/>
      </c>
      <c r="N105" s="7">
        <f>IF(C105="","",IF(E105="Pessoal",1,COUNTIF(F105:I105,TRUE)))</f>
        <v/>
      </c>
      <c r="O105" s="7" t="n"/>
      <c r="P105" s="7" t="n"/>
    </row>
    <row r="106">
      <c r="A106" s="7" t="n"/>
      <c r="B106" s="7" t="n"/>
      <c r="C106" s="8" t="n"/>
      <c r="D106" s="7" t="n"/>
      <c r="E106" s="7" t="n"/>
      <c r="F106" s="7" t="b">
        <v>0</v>
      </c>
      <c r="G106" s="7" t="b">
        <v>0</v>
      </c>
      <c r="H106" s="7" t="b">
        <v>0</v>
      </c>
      <c r="I106" s="7" t="b">
        <v>0</v>
      </c>
      <c r="J106" s="8">
        <f>IF(C106="","",IF(E106="Pessoal",IF(D106="Eduardo",C106,0),IF(N106=0,"",IF(F106=TRUE,C106/N106,0))))</f>
        <v/>
      </c>
      <c r="K106" s="8">
        <f>IF(C106="","",IF(E106="Pessoal",IF(D106="Karina",C106,0),IF(N106=0,"",IF(G106=TRUE,C106/N106,0))))</f>
        <v/>
      </c>
      <c r="L106" s="8">
        <f>IF(C106="","",IF(E106="Pessoal",IF(D106="Bruno",C106,0),IF(N106=0,"",IF(H106=TRUE,C106/N106,0))))</f>
        <v/>
      </c>
      <c r="M106" s="8">
        <f>IF(C106="","",IF(E106="Pessoal",IF(D106="Gabriele",C106,0),IF(N106=0,"",IF(I106=TRUE,C106/N106,0))))</f>
        <v/>
      </c>
      <c r="N106" s="7">
        <f>IF(C106="","",IF(E106="Pessoal",1,COUNTIF(F106:I106,TRUE)))</f>
        <v/>
      </c>
      <c r="O106" s="7" t="n"/>
      <c r="P106" s="7" t="n"/>
    </row>
    <row r="107">
      <c r="A107" s="7" t="n"/>
      <c r="B107" s="7" t="n"/>
      <c r="C107" s="8" t="n"/>
      <c r="D107" s="7" t="n"/>
      <c r="E107" s="7" t="n"/>
      <c r="F107" s="7" t="b">
        <v>0</v>
      </c>
      <c r="G107" s="7" t="b">
        <v>0</v>
      </c>
      <c r="H107" s="7" t="b">
        <v>0</v>
      </c>
      <c r="I107" s="7" t="b">
        <v>0</v>
      </c>
      <c r="J107" s="8">
        <f>IF(C107="","",IF(E107="Pessoal",IF(D107="Eduardo",C107,0),IF(N107=0,"",IF(F107=TRUE,C107/N107,0))))</f>
        <v/>
      </c>
      <c r="K107" s="8">
        <f>IF(C107="","",IF(E107="Pessoal",IF(D107="Karina",C107,0),IF(N107=0,"",IF(G107=TRUE,C107/N107,0))))</f>
        <v/>
      </c>
      <c r="L107" s="8">
        <f>IF(C107="","",IF(E107="Pessoal",IF(D107="Bruno",C107,0),IF(N107=0,"",IF(H107=TRUE,C107/N107,0))))</f>
        <v/>
      </c>
      <c r="M107" s="8">
        <f>IF(C107="","",IF(E107="Pessoal",IF(D107="Gabriele",C107,0),IF(N107=0,"",IF(I107=TRUE,C107/N107,0))))</f>
        <v/>
      </c>
      <c r="N107" s="7">
        <f>IF(C107="","",IF(E107="Pessoal",1,COUNTIF(F107:I107,TRUE)))</f>
        <v/>
      </c>
      <c r="O107" s="7" t="n"/>
      <c r="P107" s="7" t="n"/>
    </row>
    <row r="108">
      <c r="A108" s="7" t="n"/>
      <c r="B108" s="7" t="n"/>
      <c r="C108" s="8" t="n"/>
      <c r="D108" s="7" t="n"/>
      <c r="E108" s="7" t="n"/>
      <c r="F108" s="7" t="b">
        <v>0</v>
      </c>
      <c r="G108" s="7" t="b">
        <v>0</v>
      </c>
      <c r="H108" s="7" t="b">
        <v>0</v>
      </c>
      <c r="I108" s="7" t="b">
        <v>0</v>
      </c>
      <c r="J108" s="8">
        <f>IF(C108="","",IF(E108="Pessoal",IF(D108="Eduardo",C108,0),IF(N108=0,"",IF(F108=TRUE,C108/N108,0))))</f>
        <v/>
      </c>
      <c r="K108" s="8">
        <f>IF(C108="","",IF(E108="Pessoal",IF(D108="Karina",C108,0),IF(N108=0,"",IF(G108=TRUE,C108/N108,0))))</f>
        <v/>
      </c>
      <c r="L108" s="8">
        <f>IF(C108="","",IF(E108="Pessoal",IF(D108="Bruno",C108,0),IF(N108=0,"",IF(H108=TRUE,C108/N108,0))))</f>
        <v/>
      </c>
      <c r="M108" s="8">
        <f>IF(C108="","",IF(E108="Pessoal",IF(D108="Gabriele",C108,0),IF(N108=0,"",IF(I108=TRUE,C108/N108,0))))</f>
        <v/>
      </c>
      <c r="N108" s="7">
        <f>IF(C108="","",IF(E108="Pessoal",1,COUNTIF(F108:I108,TRUE)))</f>
        <v/>
      </c>
      <c r="O108" s="7" t="n"/>
      <c r="P108" s="7" t="n"/>
    </row>
    <row r="109">
      <c r="A109" s="7" t="n"/>
      <c r="B109" s="7" t="n"/>
      <c r="C109" s="8" t="n"/>
      <c r="D109" s="7" t="n"/>
      <c r="E109" s="7" t="n"/>
      <c r="F109" s="7" t="b">
        <v>0</v>
      </c>
      <c r="G109" s="7" t="b">
        <v>0</v>
      </c>
      <c r="H109" s="7" t="b">
        <v>0</v>
      </c>
      <c r="I109" s="7" t="b">
        <v>0</v>
      </c>
      <c r="J109" s="8">
        <f>IF(C109="","",IF(E109="Pessoal",IF(D109="Eduardo",C109,0),IF(N109=0,"",IF(F109=TRUE,C109/N109,0))))</f>
        <v/>
      </c>
      <c r="K109" s="8">
        <f>IF(C109="","",IF(E109="Pessoal",IF(D109="Karina",C109,0),IF(N109=0,"",IF(G109=TRUE,C109/N109,0))))</f>
        <v/>
      </c>
      <c r="L109" s="8">
        <f>IF(C109="","",IF(E109="Pessoal",IF(D109="Bruno",C109,0),IF(N109=0,"",IF(H109=TRUE,C109/N109,0))))</f>
        <v/>
      </c>
      <c r="M109" s="8">
        <f>IF(C109="","",IF(E109="Pessoal",IF(D109="Gabriele",C109,0),IF(N109=0,"",IF(I109=TRUE,C109/N109,0))))</f>
        <v/>
      </c>
      <c r="N109" s="7">
        <f>IF(C109="","",IF(E109="Pessoal",1,COUNTIF(F109:I109,TRUE)))</f>
        <v/>
      </c>
      <c r="O109" s="7" t="n"/>
      <c r="P109" s="7" t="n"/>
    </row>
    <row r="110">
      <c r="A110" s="7" t="n"/>
      <c r="B110" s="7" t="n"/>
      <c r="C110" s="8" t="n"/>
      <c r="D110" s="7" t="n"/>
      <c r="E110" s="7" t="n"/>
      <c r="F110" s="7" t="b">
        <v>0</v>
      </c>
      <c r="G110" s="7" t="b">
        <v>0</v>
      </c>
      <c r="H110" s="7" t="b">
        <v>0</v>
      </c>
      <c r="I110" s="7" t="b">
        <v>0</v>
      </c>
      <c r="J110" s="8">
        <f>IF(C110="","",IF(E110="Pessoal",IF(D110="Eduardo",C110,0),IF(N110=0,"",IF(F110=TRUE,C110/N110,0))))</f>
        <v/>
      </c>
      <c r="K110" s="8">
        <f>IF(C110="","",IF(E110="Pessoal",IF(D110="Karina",C110,0),IF(N110=0,"",IF(G110=TRUE,C110/N110,0))))</f>
        <v/>
      </c>
      <c r="L110" s="8">
        <f>IF(C110="","",IF(E110="Pessoal",IF(D110="Bruno",C110,0),IF(N110=0,"",IF(H110=TRUE,C110/N110,0))))</f>
        <v/>
      </c>
      <c r="M110" s="8">
        <f>IF(C110="","",IF(E110="Pessoal",IF(D110="Gabriele",C110,0),IF(N110=0,"",IF(I110=TRUE,C110/N110,0))))</f>
        <v/>
      </c>
      <c r="N110" s="7">
        <f>IF(C110="","",IF(E110="Pessoal",1,COUNTIF(F110:I110,TRUE)))</f>
        <v/>
      </c>
      <c r="O110" s="7" t="n"/>
      <c r="P110" s="7" t="n"/>
    </row>
    <row r="111">
      <c r="A111" s="7" t="n"/>
      <c r="B111" s="7" t="n"/>
      <c r="C111" s="8" t="n"/>
      <c r="D111" s="7" t="n"/>
      <c r="E111" s="7" t="n"/>
      <c r="F111" s="7" t="b">
        <v>0</v>
      </c>
      <c r="G111" s="7" t="b">
        <v>0</v>
      </c>
      <c r="H111" s="7" t="b">
        <v>0</v>
      </c>
      <c r="I111" s="7" t="b">
        <v>0</v>
      </c>
      <c r="J111" s="8">
        <f>IF(C111="","",IF(E111="Pessoal",IF(D111="Eduardo",C111,0),IF(N111=0,"",IF(F111=TRUE,C111/N111,0))))</f>
        <v/>
      </c>
      <c r="K111" s="8">
        <f>IF(C111="","",IF(E111="Pessoal",IF(D111="Karina",C111,0),IF(N111=0,"",IF(G111=TRUE,C111/N111,0))))</f>
        <v/>
      </c>
      <c r="L111" s="8">
        <f>IF(C111="","",IF(E111="Pessoal",IF(D111="Bruno",C111,0),IF(N111=0,"",IF(H111=TRUE,C111/N111,0))))</f>
        <v/>
      </c>
      <c r="M111" s="8">
        <f>IF(C111="","",IF(E111="Pessoal",IF(D111="Gabriele",C111,0),IF(N111=0,"",IF(I111=TRUE,C111/N111,0))))</f>
        <v/>
      </c>
      <c r="N111" s="7">
        <f>IF(C111="","",IF(E111="Pessoal",1,COUNTIF(F111:I111,TRUE)))</f>
        <v/>
      </c>
      <c r="O111" s="7" t="n"/>
      <c r="P111" s="7" t="n"/>
    </row>
    <row r="112">
      <c r="A112" s="7" t="n"/>
      <c r="B112" s="7" t="n"/>
      <c r="C112" s="8" t="n"/>
      <c r="D112" s="7" t="n"/>
      <c r="E112" s="7" t="n"/>
      <c r="F112" s="7" t="b">
        <v>0</v>
      </c>
      <c r="G112" s="7" t="b">
        <v>0</v>
      </c>
      <c r="H112" s="7" t="b">
        <v>0</v>
      </c>
      <c r="I112" s="7" t="b">
        <v>0</v>
      </c>
      <c r="J112" s="8">
        <f>IF(C112="","",IF(E112="Pessoal",IF(D112="Eduardo",C112,0),IF(N112=0,"",IF(F112=TRUE,C112/N112,0))))</f>
        <v/>
      </c>
      <c r="K112" s="8">
        <f>IF(C112="","",IF(E112="Pessoal",IF(D112="Karina",C112,0),IF(N112=0,"",IF(G112=TRUE,C112/N112,0))))</f>
        <v/>
      </c>
      <c r="L112" s="8">
        <f>IF(C112="","",IF(E112="Pessoal",IF(D112="Bruno",C112,0),IF(N112=0,"",IF(H112=TRUE,C112/N112,0))))</f>
        <v/>
      </c>
      <c r="M112" s="8">
        <f>IF(C112="","",IF(E112="Pessoal",IF(D112="Gabriele",C112,0),IF(N112=0,"",IF(I112=TRUE,C112/N112,0))))</f>
        <v/>
      </c>
      <c r="N112" s="7">
        <f>IF(C112="","",IF(E112="Pessoal",1,COUNTIF(F112:I112,TRUE)))</f>
        <v/>
      </c>
      <c r="O112" s="7" t="n"/>
      <c r="P112" s="7" t="n"/>
    </row>
    <row r="113">
      <c r="A113" s="7" t="n"/>
      <c r="B113" s="7" t="n"/>
      <c r="C113" s="8" t="n"/>
      <c r="D113" s="7" t="n"/>
      <c r="E113" s="7" t="n"/>
      <c r="F113" s="7" t="b">
        <v>0</v>
      </c>
      <c r="G113" s="7" t="b">
        <v>0</v>
      </c>
      <c r="H113" s="7" t="b">
        <v>0</v>
      </c>
      <c r="I113" s="7" t="b">
        <v>0</v>
      </c>
      <c r="J113" s="8">
        <f>IF(C113="","",IF(E113="Pessoal",IF(D113="Eduardo",C113,0),IF(N113=0,"",IF(F113=TRUE,C113/N113,0))))</f>
        <v/>
      </c>
      <c r="K113" s="8">
        <f>IF(C113="","",IF(E113="Pessoal",IF(D113="Karina",C113,0),IF(N113=0,"",IF(G113=TRUE,C113/N113,0))))</f>
        <v/>
      </c>
      <c r="L113" s="8">
        <f>IF(C113="","",IF(E113="Pessoal",IF(D113="Bruno",C113,0),IF(N113=0,"",IF(H113=TRUE,C113/N113,0))))</f>
        <v/>
      </c>
      <c r="M113" s="8">
        <f>IF(C113="","",IF(E113="Pessoal",IF(D113="Gabriele",C113,0),IF(N113=0,"",IF(I113=TRUE,C113/N113,0))))</f>
        <v/>
      </c>
      <c r="N113" s="7">
        <f>IF(C113="","",IF(E113="Pessoal",1,COUNTIF(F113:I113,TRUE)))</f>
        <v/>
      </c>
      <c r="O113" s="7" t="n"/>
      <c r="P113" s="7" t="n"/>
    </row>
    <row r="114">
      <c r="A114" s="7" t="n"/>
      <c r="B114" s="7" t="n"/>
      <c r="C114" s="8" t="n"/>
      <c r="D114" s="7" t="n"/>
      <c r="E114" s="7" t="n"/>
      <c r="F114" s="7" t="b">
        <v>0</v>
      </c>
      <c r="G114" s="7" t="b">
        <v>0</v>
      </c>
      <c r="H114" s="7" t="b">
        <v>0</v>
      </c>
      <c r="I114" s="7" t="b">
        <v>0</v>
      </c>
      <c r="J114" s="8">
        <f>IF(C114="","",IF(E114="Pessoal",IF(D114="Eduardo",C114,0),IF(N114=0,"",IF(F114=TRUE,C114/N114,0))))</f>
        <v/>
      </c>
      <c r="K114" s="8">
        <f>IF(C114="","",IF(E114="Pessoal",IF(D114="Karina",C114,0),IF(N114=0,"",IF(G114=TRUE,C114/N114,0))))</f>
        <v/>
      </c>
      <c r="L114" s="8">
        <f>IF(C114="","",IF(E114="Pessoal",IF(D114="Bruno",C114,0),IF(N114=0,"",IF(H114=TRUE,C114/N114,0))))</f>
        <v/>
      </c>
      <c r="M114" s="8">
        <f>IF(C114="","",IF(E114="Pessoal",IF(D114="Gabriele",C114,0),IF(N114=0,"",IF(I114=TRUE,C114/N114,0))))</f>
        <v/>
      </c>
      <c r="N114" s="7">
        <f>IF(C114="","",IF(E114="Pessoal",1,COUNTIF(F114:I114,TRUE)))</f>
        <v/>
      </c>
      <c r="O114" s="7" t="n"/>
      <c r="P114" s="7" t="n"/>
    </row>
    <row r="115">
      <c r="A115" s="7" t="n"/>
      <c r="B115" s="7" t="n"/>
      <c r="C115" s="8" t="n"/>
      <c r="D115" s="7" t="n"/>
      <c r="E115" s="7" t="n"/>
      <c r="F115" s="7" t="b">
        <v>0</v>
      </c>
      <c r="G115" s="7" t="b">
        <v>0</v>
      </c>
      <c r="H115" s="7" t="b">
        <v>0</v>
      </c>
      <c r="I115" s="7" t="b">
        <v>0</v>
      </c>
      <c r="J115" s="8">
        <f>IF(C115="","",IF(E115="Pessoal",IF(D115="Eduardo",C115,0),IF(N115=0,"",IF(F115=TRUE,C115/N115,0))))</f>
        <v/>
      </c>
      <c r="K115" s="8">
        <f>IF(C115="","",IF(E115="Pessoal",IF(D115="Karina",C115,0),IF(N115=0,"",IF(G115=TRUE,C115/N115,0))))</f>
        <v/>
      </c>
      <c r="L115" s="8">
        <f>IF(C115="","",IF(E115="Pessoal",IF(D115="Bruno",C115,0),IF(N115=0,"",IF(H115=TRUE,C115/N115,0))))</f>
        <v/>
      </c>
      <c r="M115" s="8">
        <f>IF(C115="","",IF(E115="Pessoal",IF(D115="Gabriele",C115,0),IF(N115=0,"",IF(I115=TRUE,C115/N115,0))))</f>
        <v/>
      </c>
      <c r="N115" s="7">
        <f>IF(C115="","",IF(E115="Pessoal",1,COUNTIF(F115:I115,TRUE)))</f>
        <v/>
      </c>
      <c r="O115" s="7" t="n"/>
      <c r="P115" s="7" t="n"/>
    </row>
    <row r="116">
      <c r="A116" s="7" t="n"/>
      <c r="B116" s="7" t="n"/>
      <c r="C116" s="8" t="n"/>
      <c r="D116" s="7" t="n"/>
      <c r="E116" s="7" t="n"/>
      <c r="F116" s="7" t="b">
        <v>0</v>
      </c>
      <c r="G116" s="7" t="b">
        <v>0</v>
      </c>
      <c r="H116" s="7" t="b">
        <v>0</v>
      </c>
      <c r="I116" s="7" t="b">
        <v>0</v>
      </c>
      <c r="J116" s="8">
        <f>IF(C116="","",IF(E116="Pessoal",IF(D116="Eduardo",C116,0),IF(N116=0,"",IF(F116=TRUE,C116/N116,0))))</f>
        <v/>
      </c>
      <c r="K116" s="8">
        <f>IF(C116="","",IF(E116="Pessoal",IF(D116="Karina",C116,0),IF(N116=0,"",IF(G116=TRUE,C116/N116,0))))</f>
        <v/>
      </c>
      <c r="L116" s="8">
        <f>IF(C116="","",IF(E116="Pessoal",IF(D116="Bruno",C116,0),IF(N116=0,"",IF(H116=TRUE,C116/N116,0))))</f>
        <v/>
      </c>
      <c r="M116" s="8">
        <f>IF(C116="","",IF(E116="Pessoal",IF(D116="Gabriele",C116,0),IF(N116=0,"",IF(I116=TRUE,C116/N116,0))))</f>
        <v/>
      </c>
      <c r="N116" s="7">
        <f>IF(C116="","",IF(E116="Pessoal",1,COUNTIF(F116:I116,TRUE)))</f>
        <v/>
      </c>
      <c r="O116" s="7" t="n"/>
      <c r="P116" s="7" t="n"/>
    </row>
    <row r="117">
      <c r="A117" s="7" t="n"/>
      <c r="B117" s="7" t="n"/>
      <c r="C117" s="8" t="n"/>
      <c r="D117" s="7" t="n"/>
      <c r="E117" s="7" t="n"/>
      <c r="F117" s="7" t="b">
        <v>0</v>
      </c>
      <c r="G117" s="7" t="b">
        <v>0</v>
      </c>
      <c r="H117" s="7" t="b">
        <v>0</v>
      </c>
      <c r="I117" s="7" t="b">
        <v>0</v>
      </c>
      <c r="J117" s="8">
        <f>IF(C117="","",IF(E117="Pessoal",IF(D117="Eduardo",C117,0),IF(N117=0,"",IF(F117=TRUE,C117/N117,0))))</f>
        <v/>
      </c>
      <c r="K117" s="8">
        <f>IF(C117="","",IF(E117="Pessoal",IF(D117="Karina",C117,0),IF(N117=0,"",IF(G117=TRUE,C117/N117,0))))</f>
        <v/>
      </c>
      <c r="L117" s="8">
        <f>IF(C117="","",IF(E117="Pessoal",IF(D117="Bruno",C117,0),IF(N117=0,"",IF(H117=TRUE,C117/N117,0))))</f>
        <v/>
      </c>
      <c r="M117" s="8">
        <f>IF(C117="","",IF(E117="Pessoal",IF(D117="Gabriele",C117,0),IF(N117=0,"",IF(I117=TRUE,C117/N117,0))))</f>
        <v/>
      </c>
      <c r="N117" s="7">
        <f>IF(C117="","",IF(E117="Pessoal",1,COUNTIF(F117:I117,TRUE)))</f>
        <v/>
      </c>
      <c r="O117" s="7" t="n"/>
      <c r="P117" s="7" t="n"/>
    </row>
    <row r="118">
      <c r="A118" s="7" t="n"/>
      <c r="B118" s="7" t="n"/>
      <c r="C118" s="8" t="n"/>
      <c r="D118" s="7" t="n"/>
      <c r="E118" s="7" t="n"/>
      <c r="F118" s="7" t="b">
        <v>0</v>
      </c>
      <c r="G118" s="7" t="b">
        <v>0</v>
      </c>
      <c r="H118" s="7" t="b">
        <v>0</v>
      </c>
      <c r="I118" s="7" t="b">
        <v>0</v>
      </c>
      <c r="J118" s="8">
        <f>IF(C118="","",IF(E118="Pessoal",IF(D118="Eduardo",C118,0),IF(N118=0,"",IF(F118=TRUE,C118/N118,0))))</f>
        <v/>
      </c>
      <c r="K118" s="8">
        <f>IF(C118="","",IF(E118="Pessoal",IF(D118="Karina",C118,0),IF(N118=0,"",IF(G118=TRUE,C118/N118,0))))</f>
        <v/>
      </c>
      <c r="L118" s="8">
        <f>IF(C118="","",IF(E118="Pessoal",IF(D118="Bruno",C118,0),IF(N118=0,"",IF(H118=TRUE,C118/N118,0))))</f>
        <v/>
      </c>
      <c r="M118" s="8">
        <f>IF(C118="","",IF(E118="Pessoal",IF(D118="Gabriele",C118,0),IF(N118=0,"",IF(I118=TRUE,C118/N118,0))))</f>
        <v/>
      </c>
      <c r="N118" s="7">
        <f>IF(C118="","",IF(E118="Pessoal",1,COUNTIF(F118:I118,TRUE)))</f>
        <v/>
      </c>
      <c r="O118" s="7" t="n"/>
      <c r="P118" s="7" t="n"/>
    </row>
    <row r="119">
      <c r="A119" s="7" t="n"/>
      <c r="B119" s="7" t="n"/>
      <c r="C119" s="8" t="n"/>
      <c r="D119" s="7" t="n"/>
      <c r="E119" s="7" t="n"/>
      <c r="F119" s="7" t="b">
        <v>0</v>
      </c>
      <c r="G119" s="7" t="b">
        <v>0</v>
      </c>
      <c r="H119" s="7" t="b">
        <v>0</v>
      </c>
      <c r="I119" s="7" t="b">
        <v>0</v>
      </c>
      <c r="J119" s="8">
        <f>IF(C119="","",IF(E119="Pessoal",IF(D119="Eduardo",C119,0),IF(N119=0,"",IF(F119=TRUE,C119/N119,0))))</f>
        <v/>
      </c>
      <c r="K119" s="8">
        <f>IF(C119="","",IF(E119="Pessoal",IF(D119="Karina",C119,0),IF(N119=0,"",IF(G119=TRUE,C119/N119,0))))</f>
        <v/>
      </c>
      <c r="L119" s="8">
        <f>IF(C119="","",IF(E119="Pessoal",IF(D119="Bruno",C119,0),IF(N119=0,"",IF(H119=TRUE,C119/N119,0))))</f>
        <v/>
      </c>
      <c r="M119" s="8">
        <f>IF(C119="","",IF(E119="Pessoal",IF(D119="Gabriele",C119,0),IF(N119=0,"",IF(I119=TRUE,C119/N119,0))))</f>
        <v/>
      </c>
      <c r="N119" s="7">
        <f>IF(C119="","",IF(E119="Pessoal",1,COUNTIF(F119:I119,TRUE)))</f>
        <v/>
      </c>
      <c r="O119" s="7" t="n"/>
      <c r="P119" s="7" t="n"/>
    </row>
    <row r="120">
      <c r="A120" s="7" t="n"/>
      <c r="B120" s="7" t="n"/>
      <c r="C120" s="8" t="n"/>
      <c r="D120" s="7" t="n"/>
      <c r="E120" s="7" t="n"/>
      <c r="F120" s="7" t="b">
        <v>0</v>
      </c>
      <c r="G120" s="7" t="b">
        <v>0</v>
      </c>
      <c r="H120" s="7" t="b">
        <v>0</v>
      </c>
      <c r="I120" s="7" t="b">
        <v>0</v>
      </c>
      <c r="J120" s="8">
        <f>IF(C120="","",IF(E120="Pessoal",IF(D120="Eduardo",C120,0),IF(N120=0,"",IF(F120=TRUE,C120/N120,0))))</f>
        <v/>
      </c>
      <c r="K120" s="8">
        <f>IF(C120="","",IF(E120="Pessoal",IF(D120="Karina",C120,0),IF(N120=0,"",IF(G120=TRUE,C120/N120,0))))</f>
        <v/>
      </c>
      <c r="L120" s="8">
        <f>IF(C120="","",IF(E120="Pessoal",IF(D120="Bruno",C120,0),IF(N120=0,"",IF(H120=TRUE,C120/N120,0))))</f>
        <v/>
      </c>
      <c r="M120" s="8">
        <f>IF(C120="","",IF(E120="Pessoal",IF(D120="Gabriele",C120,0),IF(N120=0,"",IF(I120=TRUE,C120/N120,0))))</f>
        <v/>
      </c>
      <c r="N120" s="7">
        <f>IF(C120="","",IF(E120="Pessoal",1,COUNTIF(F120:I120,TRUE)))</f>
        <v/>
      </c>
      <c r="O120" s="7" t="n"/>
      <c r="P120" s="7" t="n"/>
    </row>
    <row r="121">
      <c r="A121" s="7" t="n"/>
      <c r="B121" s="7" t="n"/>
      <c r="C121" s="8" t="n"/>
      <c r="D121" s="7" t="n"/>
      <c r="E121" s="7" t="n"/>
      <c r="F121" s="7" t="b">
        <v>0</v>
      </c>
      <c r="G121" s="7" t="b">
        <v>0</v>
      </c>
      <c r="H121" s="7" t="b">
        <v>0</v>
      </c>
      <c r="I121" s="7" t="b">
        <v>0</v>
      </c>
      <c r="J121" s="8">
        <f>IF(C121="","",IF(E121="Pessoal",IF(D121="Eduardo",C121,0),IF(N121=0,"",IF(F121=TRUE,C121/N121,0))))</f>
        <v/>
      </c>
      <c r="K121" s="8">
        <f>IF(C121="","",IF(E121="Pessoal",IF(D121="Karina",C121,0),IF(N121=0,"",IF(G121=TRUE,C121/N121,0))))</f>
        <v/>
      </c>
      <c r="L121" s="8">
        <f>IF(C121="","",IF(E121="Pessoal",IF(D121="Bruno",C121,0),IF(N121=0,"",IF(H121=TRUE,C121/N121,0))))</f>
        <v/>
      </c>
      <c r="M121" s="8">
        <f>IF(C121="","",IF(E121="Pessoal",IF(D121="Gabriele",C121,0),IF(N121=0,"",IF(I121=TRUE,C121/N121,0))))</f>
        <v/>
      </c>
      <c r="N121" s="7">
        <f>IF(C121="","",IF(E121="Pessoal",1,COUNTIF(F121:I121,TRUE)))</f>
        <v/>
      </c>
      <c r="O121" s="7" t="n"/>
      <c r="P121" s="7" t="n"/>
    </row>
  </sheetData>
  <autoFilter ref="A1:P121"/>
  <dataValidations count="4">
    <dataValidation sqref="D2:D121" showDropDown="0" showInputMessage="0" showErrorMessage="0" allowBlank="1" type="list">
      <formula1>"Eduardo,Karina,Bruno,Gabriele"</formula1>
    </dataValidation>
    <dataValidation sqref="E2:E121" showDropDown="0" showInputMessage="0" showErrorMessage="0" allowBlank="1" type="list">
      <formula1>"Compartilhado,Pessoal"</formula1>
    </dataValidation>
    <dataValidation sqref="O2:O121" showDropDown="0" showInputMessage="0" showErrorMessage="0" allowBlank="1" type="list">
      <formula1>"Casa,Carro,Seguro carro,Estacionamento,Gasolina,Mercado,Comida,Ingresso,Internet,Seguro viagem,Lembrancinha,Farmácia,Roupa,Uber,Outro comum,Outro pessoal"</formula1>
    </dataValidation>
    <dataValidation sqref="F2:I12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Saldos entre vocês + quanto cada um está gastando na viagem</t>
        </is>
      </c>
    </row>
    <row r="3">
      <c r="A3" s="3" t="inlineStr">
        <is>
          <t>Membro</t>
        </is>
      </c>
      <c r="B3" s="3" t="inlineStr">
        <is>
          <t>Total pagou (R$)</t>
        </is>
      </c>
      <c r="C3" s="3" t="inlineStr">
        <is>
          <t>Cota comum (R$)</t>
        </is>
      </c>
      <c r="D3" s="3" t="inlineStr">
        <is>
          <t>Gastos pessoais (R$)</t>
        </is>
      </c>
      <c r="E3" s="3" t="inlineStr">
        <is>
          <t>Custo da viagem (R$)</t>
        </is>
      </c>
      <c r="F3" s="3" t="inlineStr">
        <is>
          <t>Saldo Splitwise (R$)</t>
        </is>
      </c>
      <c r="G3" s="3" t="inlineStr">
        <is>
          <t>Situação</t>
        </is>
      </c>
    </row>
    <row r="4">
      <c r="A4" s="7" t="inlineStr">
        <is>
          <t>Eduardo</t>
        </is>
      </c>
      <c r="B4" s="8">
        <f>SUMIF(Gastos!D:D,A4,Gastos!C:C)</f>
        <v/>
      </c>
      <c r="C4" s="8">
        <f>SUMIF(Gastos!E:E,"Compartilhado",Gastos!J:J)</f>
        <v/>
      </c>
      <c r="D4" s="8">
        <f>SUMIF(Gastos!E:E,"Pessoal",Gastos!J:J)</f>
        <v/>
      </c>
      <c r="E4" s="8">
        <f>C4+D4</f>
        <v/>
      </c>
      <c r="F4" s="8">
        <f>B4-E4</f>
        <v/>
      </c>
      <c r="G4" s="7">
        <f>IF(F4&gt;0.009,"A receber",IF(F4&lt;-0.009,"A pagar","Quitado"))</f>
        <v/>
      </c>
    </row>
    <row r="5">
      <c r="A5" s="7" t="inlineStr">
        <is>
          <t>Karina</t>
        </is>
      </c>
      <c r="B5" s="8">
        <f>SUMIF(Gastos!D:D,A5,Gastos!C:C)</f>
        <v/>
      </c>
      <c r="C5" s="8">
        <f>SUMIF(Gastos!E:E,"Compartilhado",Gastos!K:K)</f>
        <v/>
      </c>
      <c r="D5" s="8">
        <f>SUMIF(Gastos!E:E,"Pessoal",Gastos!K:K)</f>
        <v/>
      </c>
      <c r="E5" s="8">
        <f>C5+D5</f>
        <v/>
      </c>
      <c r="F5" s="8">
        <f>B5-E5</f>
        <v/>
      </c>
      <c r="G5" s="7">
        <f>IF(F5&gt;0.009,"A receber",IF(F5&lt;-0.009,"A pagar","Quitado"))</f>
        <v/>
      </c>
    </row>
    <row r="6">
      <c r="A6" s="7" t="inlineStr">
        <is>
          <t>Bruno</t>
        </is>
      </c>
      <c r="B6" s="8">
        <f>SUMIF(Gastos!D:D,A6,Gastos!C:C)</f>
        <v/>
      </c>
      <c r="C6" s="8">
        <f>SUMIF(Gastos!E:E,"Compartilhado",Gastos!L:L)</f>
        <v/>
      </c>
      <c r="D6" s="8">
        <f>SUMIF(Gastos!E:E,"Pessoal",Gastos!L:L)</f>
        <v/>
      </c>
      <c r="E6" s="8">
        <f>C6+D6</f>
        <v/>
      </c>
      <c r="F6" s="8">
        <f>B6-E6</f>
        <v/>
      </c>
      <c r="G6" s="7">
        <f>IF(F6&gt;0.009,"A receber",IF(F6&lt;-0.009,"A pagar","Quitado"))</f>
        <v/>
      </c>
    </row>
    <row r="7">
      <c r="A7" s="7" t="inlineStr">
        <is>
          <t>Gabriele</t>
        </is>
      </c>
      <c r="B7" s="8">
        <f>SUMIF(Gastos!D:D,A7,Gastos!C:C)</f>
        <v/>
      </c>
      <c r="C7" s="8">
        <f>SUMIF(Gastos!E:E,"Compartilhado",Gastos!M:M)</f>
        <v/>
      </c>
      <c r="D7" s="8">
        <f>SUMIF(Gastos!E:E,"Pessoal",Gastos!M:M)</f>
        <v/>
      </c>
      <c r="E7" s="8">
        <f>C7+D7</f>
        <v/>
      </c>
      <c r="F7" s="8">
        <f>B7-E7</f>
        <v/>
      </c>
      <c r="G7" s="7">
        <f>IF(F7&gt;0.009,"A receber",IF(F7&lt;-0.009,"A pagar","Quitado"))</f>
        <v/>
      </c>
    </row>
    <row r="9">
      <c r="A9" s="9" t="inlineStr">
        <is>
          <t>Totais do grupo</t>
        </is>
      </c>
    </row>
    <row r="10">
      <c r="A10" t="inlineStr">
        <is>
          <t>Soma dos saldos (deve ser ~0):</t>
        </is>
      </c>
      <c r="B10" s="10">
        <f>SUM(F4:F7)</f>
        <v/>
      </c>
    </row>
    <row r="11">
      <c r="A11" t="inlineStr">
        <is>
          <t>Soma dos custos da viagem (4 pessoas):</t>
        </is>
      </c>
      <c r="B11" s="10">
        <f>SUM(E4:E7)</f>
        <v/>
      </c>
    </row>
    <row r="12">
      <c r="A12" t="inlineStr">
        <is>
          <t>Total lançado na aba Gastos:</t>
        </is>
      </c>
      <c r="B12" s="10">
        <f>SUM(Gastos!C:C)</f>
        <v/>
      </c>
    </row>
    <row r="14">
      <c r="A14" s="2" t="inlineStr">
        <is>
          <t>Filtro rápido na aba Gastos</t>
        </is>
      </c>
    </row>
    <row r="15">
      <c r="A15" t="inlineStr">
        <is>
          <t>Use o filtro da coluna Tipo = Pessoal ou Compartilhado. Ou filtre Quem pagou = seu nome para ver só o que você lançou/pagou.</t>
        </is>
      </c>
    </row>
    <row r="16">
      <c r="A16" t="inlineStr">
        <is>
          <t>Coluna Custo da viagem = o que interessa para 'quanto estou gastando' (sua parte + seus pessoais).</t>
        </is>
      </c>
    </row>
  </sheetData>
  <mergeCells count="1">
    <mergeCell ref="A1:H1"/>
  </mergeCells>
  <conditionalFormatting sqref="F4:F7">
    <cfRule type="cellIs" priority="1" operator="greaterThan" dxfId="0">
      <formula>0.009</formula>
    </cfRule>
    <cfRule type="cellIs" priority="2" operator="lessThan" dxfId="1">
      <formula>-0.009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  <col width="28" customWidth="1" min="6" max="6"/>
  </cols>
  <sheetData>
    <row r="1">
      <c r="A1" s="1" t="inlineStr">
        <is>
          <t>Acertos entre o grupo (só saldo compartilhado na prática)</t>
        </is>
      </c>
    </row>
    <row r="3" ht="40" customHeight="1">
      <c r="A3" s="11" t="inlineStr">
        <is>
          <t>Os gastos pessoais não geram dívida. Acertes Pix/Zelle com base no Saldo Splitwise da aba Resumo. Registre abaixo quando transferir.</t>
        </is>
      </c>
    </row>
    <row r="5">
      <c r="A5" s="3" t="inlineStr">
        <is>
          <t>Membro</t>
        </is>
      </c>
      <c r="B5" s="3" t="inlineStr">
        <is>
          <t>Saldo (R$)</t>
        </is>
      </c>
      <c r="C5" s="3" t="inlineStr">
        <is>
          <t>Situação</t>
        </is>
      </c>
    </row>
    <row r="6">
      <c r="A6">
        <f>Resumo!A4</f>
        <v/>
      </c>
      <c r="B6" s="10">
        <f>Resumo!F4</f>
        <v/>
      </c>
      <c r="C6">
        <f>Resumo!G4</f>
        <v/>
      </c>
    </row>
    <row r="7">
      <c r="A7">
        <f>Resumo!A5</f>
        <v/>
      </c>
      <c r="B7" s="10">
        <f>Resumo!F5</f>
        <v/>
      </c>
      <c r="C7">
        <f>Resumo!G5</f>
        <v/>
      </c>
    </row>
    <row r="8">
      <c r="A8">
        <f>Resumo!A6</f>
        <v/>
      </c>
      <c r="B8" s="10">
        <f>Resumo!F6</f>
        <v/>
      </c>
      <c r="C8">
        <f>Resumo!G6</f>
        <v/>
      </c>
    </row>
    <row r="9">
      <c r="A9">
        <f>Resumo!A7</f>
        <v/>
      </c>
      <c r="B9" s="10">
        <f>Resumo!F7</f>
        <v/>
      </c>
      <c r="C9">
        <f>Resumo!G7</f>
        <v/>
      </c>
    </row>
    <row r="11">
      <c r="A11" s="12" t="inlineStr">
        <is>
          <t>Registro de transferências</t>
        </is>
      </c>
    </row>
    <row r="12">
      <c r="A12" s="3" t="inlineStr">
        <is>
          <t>Data</t>
        </is>
      </c>
      <c r="B12" s="3" t="inlineStr">
        <is>
          <t>De (paga)</t>
        </is>
      </c>
      <c r="C12" s="3" t="inlineStr">
        <is>
          <t>Para (recebe)</t>
        </is>
      </c>
      <c r="D12" s="3" t="inlineStr">
        <is>
          <t>Valor (R$)</t>
        </is>
      </c>
      <c r="E12" s="3" t="inlineStr">
        <is>
          <t>Feito?</t>
        </is>
      </c>
      <c r="F12" s="3" t="inlineStr">
        <is>
          <t>Obs</t>
        </is>
      </c>
    </row>
    <row r="13">
      <c r="A13" s="7" t="n"/>
      <c r="B13" s="7" t="n"/>
      <c r="C13" s="7" t="n"/>
      <c r="D13" s="8" t="n"/>
      <c r="E13" s="7" t="b">
        <v>0</v>
      </c>
      <c r="F13" s="7" t="n"/>
    </row>
    <row r="14">
      <c r="A14" s="7" t="n"/>
      <c r="B14" s="7" t="n"/>
      <c r="C14" s="7" t="n"/>
      <c r="D14" s="8" t="n"/>
      <c r="E14" s="7" t="b">
        <v>0</v>
      </c>
      <c r="F14" s="7" t="n"/>
    </row>
    <row r="15">
      <c r="A15" s="7" t="n"/>
      <c r="B15" s="7" t="n"/>
      <c r="C15" s="7" t="n"/>
      <c r="D15" s="8" t="n"/>
      <c r="E15" s="7" t="b">
        <v>0</v>
      </c>
      <c r="F15" s="7" t="n"/>
    </row>
    <row r="16">
      <c r="A16" s="7" t="n"/>
      <c r="B16" s="7" t="n"/>
      <c r="C16" s="7" t="n"/>
      <c r="D16" s="8" t="n"/>
      <c r="E16" s="7" t="b">
        <v>0</v>
      </c>
      <c r="F16" s="7" t="n"/>
    </row>
    <row r="17">
      <c r="A17" s="7" t="n"/>
      <c r="B17" s="7" t="n"/>
      <c r="C17" s="7" t="n"/>
      <c r="D17" s="8" t="n"/>
      <c r="E17" s="7" t="b">
        <v>0</v>
      </c>
      <c r="F17" s="7" t="n"/>
    </row>
    <row r="18">
      <c r="A18" s="7" t="n"/>
      <c r="B18" s="7" t="n"/>
      <c r="C18" s="7" t="n"/>
      <c r="D18" s="8" t="n"/>
      <c r="E18" s="7" t="b">
        <v>0</v>
      </c>
      <c r="F18" s="7" t="n"/>
    </row>
    <row r="19">
      <c r="A19" s="7" t="n"/>
      <c r="B19" s="7" t="n"/>
      <c r="C19" s="7" t="n"/>
      <c r="D19" s="8" t="n"/>
      <c r="E19" s="7" t="b">
        <v>0</v>
      </c>
      <c r="F19" s="7" t="n"/>
    </row>
    <row r="20">
      <c r="A20" s="7" t="n"/>
      <c r="B20" s="7" t="n"/>
      <c r="C20" s="7" t="n"/>
      <c r="D20" s="8" t="n"/>
      <c r="E20" s="7" t="b">
        <v>0</v>
      </c>
      <c r="F20" s="7" t="n"/>
    </row>
    <row r="21">
      <c r="A21" s="7" t="n"/>
      <c r="B21" s="7" t="n"/>
      <c r="C21" s="7" t="n"/>
      <c r="D21" s="8" t="n"/>
      <c r="E21" s="7" t="b">
        <v>0</v>
      </c>
      <c r="F21" s="7" t="n"/>
    </row>
    <row r="22">
      <c r="A22" s="7" t="n"/>
      <c r="B22" s="7" t="n"/>
      <c r="C22" s="7" t="n"/>
      <c r="D22" s="8" t="n"/>
      <c r="E22" s="7" t="b">
        <v>0</v>
      </c>
      <c r="F22" s="7" t="n"/>
    </row>
    <row r="23">
      <c r="A23" s="7" t="n"/>
      <c r="B23" s="7" t="n"/>
      <c r="C23" s="7" t="n"/>
      <c r="D23" s="8" t="n"/>
      <c r="E23" s="7" t="b">
        <v>0</v>
      </c>
      <c r="F23" s="7" t="n"/>
    </row>
    <row r="24">
      <c r="A24" s="7" t="n"/>
      <c r="B24" s="7" t="n"/>
      <c r="C24" s="7" t="n"/>
      <c r="D24" s="8" t="n"/>
      <c r="E24" s="7" t="b">
        <v>0</v>
      </c>
      <c r="F24" s="7" t="n"/>
    </row>
    <row r="25">
      <c r="A25" s="7" t="n"/>
      <c r="B25" s="7" t="n"/>
      <c r="C25" s="7" t="n"/>
      <c r="D25" s="8" t="n"/>
      <c r="E25" s="7" t="b">
        <v>0</v>
      </c>
      <c r="F25" s="7" t="n"/>
    </row>
    <row r="26">
      <c r="A26" s="7" t="n"/>
      <c r="B26" s="7" t="n"/>
      <c r="C26" s="7" t="n"/>
      <c r="D26" s="8" t="n"/>
      <c r="E26" s="7" t="b">
        <v>0</v>
      </c>
      <c r="F26" s="7" t="n"/>
    </row>
    <row r="27">
      <c r="A27" s="7" t="n"/>
      <c r="B27" s="7" t="n"/>
      <c r="C27" s="7" t="n"/>
      <c r="D27" s="8" t="n"/>
      <c r="E27" s="7" t="b">
        <v>0</v>
      </c>
      <c r="F27" s="7" t="n"/>
    </row>
    <row r="28">
      <c r="A28" s="7" t="n"/>
      <c r="B28" s="7" t="n"/>
      <c r="C28" s="7" t="n"/>
      <c r="D28" s="8" t="n"/>
      <c r="E28" s="7" t="b">
        <v>0</v>
      </c>
      <c r="F28" s="7" t="n"/>
    </row>
    <row r="29">
      <c r="A29" s="7" t="n"/>
      <c r="B29" s="7" t="n"/>
      <c r="C29" s="7" t="n"/>
      <c r="D29" s="8" t="n"/>
      <c r="E29" s="7" t="b">
        <v>0</v>
      </c>
      <c r="F29" s="7" t="n"/>
    </row>
    <row r="30">
      <c r="A30" s="7" t="n"/>
      <c r="B30" s="7" t="n"/>
      <c r="C30" s="7" t="n"/>
      <c r="D30" s="8" t="n"/>
      <c r="E30" s="7" t="b">
        <v>0</v>
      </c>
      <c r="F30" s="7" t="n"/>
    </row>
    <row r="31">
      <c r="A31" s="7" t="n"/>
      <c r="B31" s="7" t="n"/>
      <c r="C31" s="7" t="n"/>
      <c r="D31" s="8" t="n"/>
      <c r="E31" s="7" t="b">
        <v>0</v>
      </c>
      <c r="F31" s="7" t="n"/>
    </row>
    <row r="32">
      <c r="A32" s="7" t="n"/>
      <c r="B32" s="7" t="n"/>
      <c r="C32" s="7" t="n"/>
      <c r="D32" s="8" t="n"/>
      <c r="E32" s="7" t="b">
        <v>0</v>
      </c>
      <c r="F32" s="7" t="n"/>
    </row>
  </sheetData>
  <mergeCells count="1">
    <mergeCell ref="A3:F3"/>
  </mergeCells>
  <dataValidations count="3">
    <dataValidation sqref="B13:B32" showDropDown="0" showInputMessage="0" showErrorMessage="0" allowBlank="1" type="list">
      <formula1>"Eduardo,Karina,Bruno,Gabriele"</formula1>
    </dataValidation>
    <dataValidation sqref="C13:C32" showDropDown="0" showInputMessage="0" showErrorMessage="0" allowBlank="1" type="list">
      <formula1>"Eduardo,Karina,Bruno,Gabriele"</formula1>
    </dataValidation>
    <dataValidation sqref="E13:E32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5" customWidth="1" min="3" max="3"/>
    <col width="28" customWidth="1" min="4" max="4"/>
  </cols>
  <sheetData>
    <row r="1">
      <c r="A1" s="1" t="inlineStr">
        <is>
          <t>O que lançar e como classificar</t>
        </is>
      </c>
    </row>
    <row r="2">
      <c r="A2" s="3" t="inlineStr">
        <is>
          <t>Tipo</t>
        </is>
      </c>
      <c r="B2" s="3" t="inlineStr">
        <is>
          <t>Categoria</t>
        </is>
      </c>
      <c r="C2" s="3" t="inlineStr">
        <is>
          <t>Exemplos</t>
        </is>
      </c>
      <c r="D2" s="3" t="inlineStr">
        <is>
          <t>Marcar quem?</t>
        </is>
      </c>
    </row>
    <row r="3">
      <c r="A3" t="inlineStr">
        <is>
          <t>Compartilhado</t>
        </is>
      </c>
      <c r="B3" t="inlineStr">
        <is>
          <t>Casa / Carro / Seguro / Parking / Gasolina / Mercado</t>
        </is>
      </c>
      <c r="C3" t="inlineStr">
        <is>
          <t>Custos dos 4 adultos</t>
        </is>
      </c>
      <c r="D3" t="inlineStr">
        <is>
          <t>Os 4</t>
        </is>
      </c>
    </row>
    <row r="4">
      <c r="A4" t="inlineStr">
        <is>
          <t>Compartilhado</t>
        </is>
      </c>
      <c r="B4" t="inlineStr">
        <is>
          <t>Comida / Uber / Outro comum</t>
        </is>
      </c>
      <c r="C4" t="inlineStr">
        <is>
          <t>Quando o grupo (ou parte) divide</t>
        </is>
      </c>
      <c r="D4" t="inlineStr">
        <is>
          <t>Quem participou</t>
        </is>
      </c>
    </row>
    <row r="5">
      <c r="A5" t="inlineStr">
        <is>
          <t>Pessoal</t>
        </is>
      </c>
      <c r="B5" t="inlineStr">
        <is>
          <t>Ingresso</t>
        </is>
      </c>
      <c r="C5" t="inlineStr">
        <is>
          <t>Seu Disney/Universal/SeaWorld (se cada um compra o seu)</t>
        </is>
      </c>
      <c r="D5" t="inlineStr">
        <is>
          <t>Automático = quem pagou</t>
        </is>
      </c>
    </row>
    <row r="6">
      <c r="A6" t="inlineStr">
        <is>
          <t>Pessoal</t>
        </is>
      </c>
      <c r="B6" t="inlineStr">
        <is>
          <t>Internet / Seguro viagem</t>
        </is>
      </c>
      <c r="C6" t="inlineStr">
        <is>
          <t>e-SIM, seguro individual</t>
        </is>
      </c>
      <c r="D6" t="inlineStr">
        <is>
          <t>Automático</t>
        </is>
      </c>
    </row>
    <row r="7">
      <c r="A7" t="inlineStr">
        <is>
          <t>Pessoal</t>
        </is>
      </c>
      <c r="B7" t="inlineStr">
        <is>
          <t>Lembrancinha / Roupa / Farmácia</t>
        </is>
      </c>
      <c r="C7" t="inlineStr">
        <is>
          <t>Compras só suas</t>
        </is>
      </c>
      <c r="D7" t="inlineStr">
        <is>
          <t>Automático</t>
        </is>
      </c>
    </row>
    <row r="8">
      <c r="A8" t="inlineStr">
        <is>
          <t>Pessoal</t>
        </is>
      </c>
      <c r="B8" t="inlineStr">
        <is>
          <t>Comida</t>
        </is>
      </c>
      <c r="C8" t="inlineStr">
        <is>
          <t>Almoço sozinho, snack só seu</t>
        </is>
      </c>
      <c r="D8" t="inlineStr">
        <is>
          <t>Automático</t>
        </is>
      </c>
    </row>
    <row r="9">
      <c r="A9" t="inlineStr">
        <is>
          <t>Pessoal</t>
        </is>
      </c>
      <c r="B9" t="inlineStr">
        <is>
          <t>Outro pessoal</t>
        </is>
      </c>
      <c r="C9" t="inlineStr">
        <is>
          <t>Qualquer gasto só seu que queira somar no custo da viagem</t>
        </is>
      </c>
      <c r="D9" t="inlineStr">
        <is>
          <t>Automático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2026-08-27T14:11:10Z</dcterms:created>
  <dcterms:modified xmlns:dcterms="http://purl.org/dc/terms/" xmlns:xsi="http://www.w3.org/2001/XMLSchema-instance" xsi:type="dcterms:W3CDTF">2026-08-27T14:11:10Z</dcterms:modified>
</cp:coreProperties>
</file>